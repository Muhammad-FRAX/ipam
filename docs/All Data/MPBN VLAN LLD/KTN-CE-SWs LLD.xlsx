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"/>
    </mc:Choice>
  </mc:AlternateContent>
  <xr:revisionPtr revIDLastSave="0" documentId="13_ncr:1_{BCFE44BB-A706-4B62-A33B-24E605B8E8C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ver" sheetId="44" r:id="rId1"/>
    <sheet name=" Physical Device List" sheetId="1" r:id="rId2"/>
    <sheet name="Virtual Device List" sheetId="47" r:id="rId3"/>
    <sheet name="Logical Topology" sheetId="5" r:id="rId4"/>
    <sheet name="Port layout  " sheetId="6" r:id="rId5"/>
    <sheet name="VLAN Mapping and Networks" sheetId="34" r:id="rId6"/>
    <sheet name="VRF_Planning" sheetId="33" r:id="rId7"/>
  </sheets>
  <definedNames>
    <definedName name="_xlnm._FilterDatabase" localSheetId="6" hidden="1">VRF_Planning!$B$1:$I$6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<sst xmlns="http://schemas.openxmlformats.org/spreadsheetml/2006/main" count="629" uniqueCount="181">
  <si>
    <t>Site</t>
  </si>
  <si>
    <t>Device Type</t>
  </si>
  <si>
    <t>Source Port</t>
    <phoneticPr fontId="0" type="noConversion"/>
  </si>
  <si>
    <t>Logical interface</t>
  </si>
  <si>
    <t>Interface Description</t>
  </si>
  <si>
    <t>Device Name</t>
  </si>
  <si>
    <t>Return</t>
  </si>
  <si>
    <t>Remark</t>
  </si>
  <si>
    <t>VRF_name</t>
  </si>
  <si>
    <t>Route-Distinguisher</t>
  </si>
  <si>
    <t>Route-traget import</t>
  </si>
  <si>
    <t>Route-traget export</t>
  </si>
  <si>
    <t>RD: Router-ID:x, RT: 64600:x</t>
  </si>
  <si>
    <t>VRRP ID</t>
  </si>
  <si>
    <t>Master/Slave</t>
  </si>
  <si>
    <t>IP address</t>
  </si>
  <si>
    <t>Virtual IP</t>
  </si>
  <si>
    <t>Link Type</t>
  </si>
  <si>
    <t>Fiber</t>
  </si>
  <si>
    <t>VLAN Description</t>
  </si>
  <si>
    <t>Vlan ID</t>
  </si>
  <si>
    <t>N/A</t>
  </si>
  <si>
    <t xml:space="preserve"> Destination Device</t>
  </si>
  <si>
    <t xml:space="preserve">SFP type </t>
  </si>
  <si>
    <t>Vlanif id</t>
  </si>
  <si>
    <t>Eth-Trunk mode</t>
  </si>
  <si>
    <t>Destination interface</t>
  </si>
  <si>
    <t>L2 / L3 Eth-Trunk</t>
  </si>
  <si>
    <t>Manual</t>
  </si>
  <si>
    <t>L3</t>
  </si>
  <si>
    <t>VRRP Priority(default value=200)</t>
  </si>
  <si>
    <t>Huawei Technologies</t>
  </si>
  <si>
    <t>Interface 1</t>
  </si>
  <si>
    <t>Interface 2</t>
  </si>
  <si>
    <t>ipv4-family Configrution</t>
  </si>
  <si>
    <t xml:space="preserve">Installed Software </t>
  </si>
  <si>
    <t>Installed Patch</t>
  </si>
  <si>
    <t>SW Expiration Date</t>
  </si>
  <si>
    <t>HW Expiration Date</t>
  </si>
  <si>
    <t>Eth-Trunk1</t>
  </si>
  <si>
    <t>TO_NetEngine 8000 X8-DCGW-01</t>
  </si>
  <si>
    <t>Eth-Trunk30</t>
  </si>
  <si>
    <t xml:space="preserve">
</t>
  </si>
  <si>
    <t>Eth-Trunk0</t>
  </si>
  <si>
    <t>Eth-Trunk2</t>
  </si>
  <si>
    <t>Eth-Trunk3</t>
  </si>
  <si>
    <t>Eth-Trunk5</t>
  </si>
  <si>
    <t>Eth-Trunk6</t>
  </si>
  <si>
    <t>L5</t>
  </si>
  <si>
    <t>40GE1/0/0</t>
  </si>
  <si>
    <t>40GE1/0/1</t>
  </si>
  <si>
    <t>To_CE6881-Storage-TOR-Core-02_40GE 1/0/2</t>
  </si>
  <si>
    <t>To_CE6881-Storage-TOR-Core-01_40GE 1/0/2</t>
  </si>
  <si>
    <t>40GE2/0/6</t>
  </si>
  <si>
    <t>40GE2/0/7</t>
  </si>
  <si>
    <t>To_CE6881-MNG-TOR-Core-01_40GE 1/0/1</t>
  </si>
  <si>
    <t>40GE2/0/0</t>
  </si>
  <si>
    <t xml:space="preserve"> </t>
  </si>
  <si>
    <t>40GE2/0/1</t>
  </si>
  <si>
    <t>To_CE6863E-Control-48S6CQ-TOR-01_40GE 1/0/1</t>
  </si>
  <si>
    <t>To_CE6863E-Control-48S6CQ-TOR-02_40GE 1/0/1</t>
  </si>
  <si>
    <t>40GE2/0/4</t>
  </si>
  <si>
    <t>40GE2/0/5</t>
  </si>
  <si>
    <t>To_CE6863E-Media-48S6CQ-TOR-01_40GE 1/0/1</t>
  </si>
  <si>
    <t>To_CE6863E-Media-48S6CQ-TOR-02_40GE 1/0/1</t>
  </si>
  <si>
    <t>40GE2/0/33</t>
  </si>
  <si>
    <t>40GE2/0/34</t>
  </si>
  <si>
    <t>CE6863E-Control-48S6CQ-TOR-01</t>
  </si>
  <si>
    <t>CE6881-MNG-TOR-Core-01</t>
  </si>
  <si>
    <t>CE6881-MNG-TOR-Core-02</t>
  </si>
  <si>
    <t>40GE 1/0/2</t>
  </si>
  <si>
    <t>40GE 1/0/3</t>
  </si>
  <si>
    <t>40GE 1/0/1</t>
  </si>
  <si>
    <t>To_CE6881-MNG-TOR-Core-02_40GE 1/0/1</t>
  </si>
  <si>
    <t>NetEngine 8000 X8-DCGW-01</t>
  </si>
  <si>
    <t>40GE 1/0/4</t>
  </si>
  <si>
    <t>40GE 1/0/5</t>
  </si>
  <si>
    <t>SingleMode(40G)</t>
  </si>
  <si>
    <t>100GE8/0/0</t>
  </si>
  <si>
    <t>100GE8/0/1</t>
  </si>
  <si>
    <t>SingleMode(100G)</t>
  </si>
  <si>
    <t>100GE 0/1/3</t>
  </si>
  <si>
    <t>100GE 0/1/4</t>
  </si>
  <si>
    <t>E6881-Storage-TOR-Core-01</t>
  </si>
  <si>
    <t>CE6881-Storage-TOR-Core-02</t>
  </si>
  <si>
    <t>E6863E-Control-48S6CQ-TOR-02</t>
  </si>
  <si>
    <t>CE6863E-Media-48S6CQ-TOR-01</t>
  </si>
  <si>
    <t>40GE 2/0/33</t>
  </si>
  <si>
    <t>40GE 2/0/34</t>
  </si>
  <si>
    <t>link PSD_RN04_EOR02_Eth-Trunk0</t>
  </si>
  <si>
    <t>L2</t>
  </si>
  <si>
    <t>Peer link PSD_RN04_EOR01_Eth-Trunk0</t>
  </si>
  <si>
    <t>To_CE6881-MNG-TOR-Core-01_40GE 1/0/2</t>
  </si>
  <si>
    <t>To_CE6881-MNG-TOR-Core-02_40GE 1/0/2</t>
  </si>
  <si>
    <t>To_CE6881-Storage-TOR-Core-01_40GE 1/0/1</t>
  </si>
  <si>
    <t>To_CE6881-Storage-TOR-Core-02_40GE 1/0/1</t>
  </si>
  <si>
    <t>To_CE6863E-Control-48S6CQ-TOR-01_40GE 1/0/2</t>
  </si>
  <si>
    <t>To_CE6863E-Control-48S6CQ-TOR-02_40GE 1/0/2</t>
  </si>
  <si>
    <t>To_CE6863E-Media-48S6CQ-TOR-01_40GE 1/0/2</t>
  </si>
  <si>
    <t>To_CE6863E-Media-48S6CQ-TOR-02_40GE 1/0/2</t>
  </si>
  <si>
    <t>CE6863E-Media-48S6CQ-TOR-02</t>
  </si>
  <si>
    <t>100GE 0/1/5</t>
  </si>
  <si>
    <t>100GE 0/1/6</t>
  </si>
  <si>
    <t xml:space="preserve">KTN DC Project </t>
  </si>
  <si>
    <t>KTN</t>
  </si>
  <si>
    <t>CE-SW01</t>
  </si>
  <si>
    <t>CE-SW02</t>
  </si>
  <si>
    <t>V200R005C20SPC800</t>
  </si>
  <si>
    <t>V200R019C10SPC800</t>
  </si>
  <si>
    <t>V200R019SPH032</t>
  </si>
  <si>
    <t>V200R005SPH039</t>
  </si>
  <si>
    <t>TO-CE-SW02-GE 2/0/33</t>
  </si>
  <si>
    <t>TO-CE-SW02-GE 2/0/34</t>
  </si>
  <si>
    <t>TO-CE-SW01-GE 2/0/33</t>
  </si>
  <si>
    <t>TO-CE-SW01-GE 2/0/34</t>
  </si>
  <si>
    <t>KTN-IGW01_TO_KTN-IGW02</t>
  </si>
  <si>
    <t>VRF</t>
  </si>
  <si>
    <t>KTN-Roam-FW01_TO_KTN-DCGW01_VRF_Signaling_Public</t>
  </si>
  <si>
    <t>KTN-Roam-FW01_TO_KTN-DCGW01_VRF_Media_Public</t>
  </si>
  <si>
    <t>KTN-Roam-FW01_VRF_GP_TO_KTN-DCGW01_VRF_GN</t>
  </si>
  <si>
    <t>KTN-Roam-FW01_TO_KTN-IGW01</t>
  </si>
  <si>
    <t>KTN-Gi-FW-OM</t>
  </si>
  <si>
    <t>KTN-IGW-OM</t>
  </si>
  <si>
    <t>KTN-Roam-FW-OM</t>
  </si>
  <si>
    <t>KTN-Gi-FW01_TO_KTN-IGW01</t>
  </si>
  <si>
    <t>KTN-Gi-FW01_TO_KTN-DCGW01</t>
  </si>
  <si>
    <t>TG:Eth-Trunk0(U)</t>
  </si>
  <si>
    <t>Eth-Trunk20(U)</t>
  </si>
  <si>
    <t>Eth-Trunk30(U)</t>
  </si>
  <si>
    <t>Eth-Trunk40(U)</t>
  </si>
  <si>
    <t>Eth-Trunk10(U)</t>
  </si>
  <si>
    <t>Interface 3</t>
  </si>
  <si>
    <t>KTN-Roam-FW02_TO_KTN-DCGW02_VRF_Signaling_Public</t>
  </si>
  <si>
    <t>KTN-Roam-FW02_TO_KTN-DCGW02_VRF_Media_Public</t>
  </si>
  <si>
    <t>KTN-Roam-FW02_VRF_GP_TO_KTN-DCGW02_VRF_GN</t>
  </si>
  <si>
    <t>KTN-Roam-FW02_TO_KTN-IGW02</t>
  </si>
  <si>
    <t>KTN-Gi-FW02_TO_KTN-IGW02</t>
  </si>
  <si>
    <t>KTN-Gi-FW02_TO_KTN-DCGW02</t>
  </si>
  <si>
    <t>update date, title and version (version on the go)</t>
  </si>
  <si>
    <r>
      <rPr>
        <b/>
        <sz val="11"/>
        <color rgb="FFFF0000"/>
        <rFont val="Calibri"/>
        <family val="2"/>
        <scheme val="minor"/>
      </rPr>
      <t>Device Name Design:</t>
    </r>
    <r>
      <rPr>
        <sz val="11"/>
        <color rgb="FFFF0000"/>
        <rFont val="Calibri"/>
        <family val="2"/>
        <scheme val="minor"/>
      </rPr>
      <t xml:space="preserve"> &lt;Site_ID&gt;_&lt;Role&gt;_&lt;number&gt;</t>
    </r>
  </si>
  <si>
    <t>remove it if irrelevent</t>
  </si>
  <si>
    <t>Vswitch Name</t>
  </si>
  <si>
    <t>Vswtich Role</t>
  </si>
  <si>
    <t xml:space="preserve">Number of assigned Interfaces </t>
  </si>
  <si>
    <t xml:space="preserve">Assigned interfaces </t>
  </si>
  <si>
    <t>Redundancy Type</t>
  </si>
  <si>
    <t>Related VLANs</t>
  </si>
  <si>
    <t>MARCH 2026</t>
  </si>
  <si>
    <t>CS</t>
  </si>
  <si>
    <t>ISP-SW01</t>
  </si>
  <si>
    <t>PS</t>
  </si>
  <si>
    <t>ISP SW</t>
  </si>
  <si>
    <t xml:space="preserve">SW - CE16800 </t>
  </si>
  <si>
    <t>SW- CE16800</t>
  </si>
  <si>
    <t>KTN-CE-SW01</t>
  </si>
  <si>
    <t>KTN- CE-SW02</t>
  </si>
  <si>
    <t>not used now</t>
  </si>
  <si>
    <t>AGG</t>
  </si>
  <si>
    <t>Admin-VS</t>
  </si>
  <si>
    <t>Admin SW (AGG SW)</t>
  </si>
  <si>
    <t>OM</t>
  </si>
  <si>
    <t>10.0.39.36:130</t>
  </si>
  <si>
    <t>10GE5/0/0 - 10GE5/0/47</t>
  </si>
  <si>
    <t xml:space="preserve">Slot 5 (CEL48XSFD-G)
</t>
  </si>
  <si>
    <t>Slot 6 (CEL24LQFD-G)</t>
  </si>
  <si>
    <t>100GE6/0/0 - 40GE6/0/11</t>
  </si>
  <si>
    <t>80
81
306</t>
  </si>
  <si>
    <t>10GE3/0/0 - 10GE3/0/47</t>
  </si>
  <si>
    <t>Slot 3 (CEL48XSFD-G)</t>
  </si>
  <si>
    <t>10GE1/0/0- 10GE1/0/47</t>
  </si>
  <si>
    <t>Slot 1   (CEL48XSFD-G)</t>
  </si>
  <si>
    <t>10GE7/0/0 - 10GE7/0/47</t>
  </si>
  <si>
    <t>Slot 7 (CEL48XSFD-G)</t>
  </si>
  <si>
    <t>100GE8/0/0 - 40GE8/0/23</t>
  </si>
  <si>
    <t>Slot 8  (CEL24LQFD-G)</t>
  </si>
  <si>
    <t>100
101
102
103
104
105
130
135
150
300
301</t>
  </si>
  <si>
    <t>??</t>
  </si>
  <si>
    <t>Associated Virtual Switch</t>
  </si>
  <si>
    <t>LLD V4</t>
  </si>
  <si>
    <t>KTN CE SWs LLD</t>
  </si>
  <si>
    <t>NO -Mlag or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</si>
</sst>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u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34998626667073579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ck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medium">
        <color indexed="64"/>
      </top>
      <bottom style="thick">
        <color theme="1" tint="0.499984740745262"/>
      </bottom>
      <diagonal/>
    </border>
    <border>
      <left/>
      <right style="thick">
        <color theme="1" tint="0.499984740745262"/>
      </right>
      <top/>
      <bottom style="medium">
        <color indexed="64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indexed="64"/>
      </bottom>
      <diagonal/>
    </border>
    <border>
      <left style="thick">
        <color theme="1" tint="0.499984740745262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1" tint="0.499984740745262"/>
      </left>
      <right/>
      <top style="thick">
        <color theme="1" tint="0.499984740745262"/>
      </top>
      <bottom/>
      <diagonal/>
    </border>
  </borders>
  <cellStyleXfs count="13">
    <xf numFmtId="0" fontId="0" fillId="0" borderId="0"/>
    <xf numFmtId="0" fontId="1" fillId="0" borderId="0">
      <alignment vertical="center"/>
    </xf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7" fillId="0" borderId="0"/>
    <xf numFmtId="0" fontId="2" fillId="0" borderId="0"/>
    <xf numFmtId="0" fontId="13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</cellStyleXfs>
  <cellXfs count="98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3" fillId="0" borderId="0" xfId="3"/>
    <xf numFmtId="0" fontId="3" fillId="2" borderId="0" xfId="3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1" xfId="0" applyFill="1" applyBorder="1"/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0" fillId="0" borderId="4" xfId="0" applyBorder="1"/>
    <xf numFmtId="0" fontId="6" fillId="4" borderId="2" xfId="0" applyFont="1" applyFill="1" applyBorder="1" applyAlignment="1">
      <alignment horizontal="center" vertical="center"/>
    </xf>
    <xf numFmtId="0" fontId="18" fillId="0" borderId="1" xfId="0" applyFont="1" applyBorder="1"/>
    <xf numFmtId="0" fontId="0" fillId="2" borderId="1" xfId="0" applyFill="1" applyBorder="1" applyAlignment="1">
      <alignment vertical="center"/>
    </xf>
    <xf numFmtId="0" fontId="6" fillId="4" borderId="11" xfId="0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1" fontId="11" fillId="4" borderId="3" xfId="3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0" fillId="4" borderId="8" xfId="0" applyFont="1" applyFill="1" applyBorder="1"/>
    <xf numFmtId="0" fontId="10" fillId="4" borderId="10" xfId="0" applyFont="1" applyFill="1" applyBorder="1" applyAlignment="1">
      <alignment wrapText="1"/>
    </xf>
    <xf numFmtId="0" fontId="10" fillId="4" borderId="10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5" fillId="4" borderId="13" xfId="0" applyFont="1" applyFill="1" applyBorder="1"/>
    <xf numFmtId="0" fontId="15" fillId="4" borderId="4" xfId="0" applyFont="1" applyFill="1" applyBorder="1" applyAlignment="1">
      <alignment horizontal="center"/>
    </xf>
    <xf numFmtId="0" fontId="15" fillId="4" borderId="4" xfId="0" applyFont="1" applyFill="1" applyBorder="1"/>
    <xf numFmtId="0" fontId="19" fillId="0" borderId="0" xfId="0" applyFont="1"/>
    <xf numFmtId="0" fontId="19" fillId="0" borderId="2" xfId="0" applyFont="1" applyBorder="1" applyAlignment="1">
      <alignment horizontal="center"/>
    </xf>
    <xf numFmtId="0" fontId="22" fillId="0" borderId="6" xfId="3" applyFont="1" applyBorder="1"/>
    <xf numFmtId="0" fontId="3" fillId="0" borderId="6" xfId="3" applyBorder="1"/>
    <xf numFmtId="0" fontId="0" fillId="0" borderId="6" xfId="0" applyBorder="1"/>
    <xf numFmtId="0" fontId="19" fillId="0" borderId="17" xfId="0" applyFont="1" applyBorder="1"/>
    <xf numFmtId="0" fontId="23" fillId="4" borderId="2" xfId="0" applyFont="1" applyFill="1" applyBorder="1" applyAlignment="1">
      <alignment horizontal="center" vertical="center"/>
    </xf>
    <xf numFmtId="0" fontId="24" fillId="0" borderId="6" xfId="3" applyFont="1" applyBorder="1"/>
    <xf numFmtId="0" fontId="6" fillId="4" borderId="1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2" xfId="0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19" fillId="2" borderId="1" xfId="0" applyFont="1" applyFill="1" applyBorder="1" applyAlignment="1">
      <alignment horizontal="left" vertical="center"/>
    </xf>
    <xf numFmtId="14" fontId="19" fillId="2" borderId="1" xfId="0" applyNumberFormat="1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14" fontId="19" fillId="2" borderId="6" xfId="0" applyNumberFormat="1" applyFont="1" applyFill="1" applyBorder="1" applyAlignment="1">
      <alignment horizontal="left" vertical="center"/>
    </xf>
    <xf numFmtId="0" fontId="15" fillId="7" borderId="4" xfId="0" applyFont="1" applyFill="1" applyBorder="1"/>
    <xf numFmtId="0" fontId="10" fillId="4" borderId="6" xfId="0" applyFont="1" applyFill="1" applyBorder="1"/>
    <xf numFmtId="0" fontId="6" fillId="4" borderId="27" xfId="0" applyFont="1" applyFill="1" applyBorder="1" applyAlignment="1">
      <alignment horizontal="left" vertical="center"/>
    </xf>
    <xf numFmtId="0" fontId="6" fillId="4" borderId="27" xfId="0" applyFont="1" applyFill="1" applyBorder="1" applyAlignment="1">
      <alignment horizontal="center" vertical="center"/>
    </xf>
    <xf numFmtId="1" fontId="6" fillId="4" borderId="2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12" fillId="2" borderId="4" xfId="7" applyFont="1" applyFill="1" applyBorder="1" applyAlignment="1">
      <alignment horizontal="center" vertical="center"/>
    </xf>
    <xf numFmtId="1" fontId="12" fillId="2" borderId="4" xfId="7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0" fillId="0" borderId="4" xfId="7" applyFont="1" applyFill="1" applyBorder="1" applyAlignment="1">
      <alignment horizontal="left" vertical="center"/>
    </xf>
    <xf numFmtId="0" fontId="0" fillId="7" borderId="4" xfId="0" applyFill="1" applyBorder="1"/>
    <xf numFmtId="14" fontId="15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 wrapText="1"/>
    </xf>
    <xf numFmtId="14" fontId="0" fillId="2" borderId="5" xfId="0" applyNumberFormat="1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11" fillId="4" borderId="1" xfId="3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2" fillId="2" borderId="4" xfId="7" applyFont="1" applyFill="1" applyBorder="1" applyAlignment="1">
      <alignment horizontal="center" vertical="center"/>
    </xf>
    <xf numFmtId="1" fontId="12" fillId="2" borderId="4" xfId="7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</cellXfs>
  <cellStyles count="13">
    <cellStyle name="Good" xfId="7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8" xr:uid="{9007A332-A0E0-435F-A3AF-90FED24BE176}"/>
    <cellStyle name="常规 15" xfId="10" xr:uid="{164FEB21-8A58-4069-A235-AEAD274E4499}"/>
    <cellStyle name="常规 2 3 2 2 2" xfId="9" xr:uid="{33F45FC2-CB53-4C66-AC7B-7885151027F9}"/>
    <cellStyle name="常规 2 3 2 2 2 2 2 2 2 2" xfId="12" xr:uid="{D87A3821-BBCE-4FC5-B6D5-2B2904E68223}"/>
    <cellStyle name="常规 2 4" xfId="5" xr:uid="{00000000-0005-0000-0000-000009000000}"/>
    <cellStyle name="常规 3 8" xfId="11" xr:uid="{449E8AE8-7289-4283-AEE3-760CC9687CAA}"/>
    <cellStyle name="常规_CN Design V100R001C02 中国移动VOIP网改实施方案和数据规划带宽计算模板" xfId="2" xr:uid="{00000000-0005-0000-0000-00000A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7</xdr:col>
      <xdr:colOff>1625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4</xdr:row>
          <xdr:rowOff>152400</xdr:rowOff>
        </xdr:from>
        <xdr:to>
          <xdr:col>32</xdr:col>
          <xdr:colOff>69850</xdr:colOff>
          <xdr:row>52</xdr:row>
          <xdr:rowOff>76200</xdr:rowOff>
        </xdr:to>
        <xdr:sp macro="" textlink="">
          <xdr:nvSpPr>
            <xdr:cNvPr id="37890" name="Object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6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sheetPr>
    <tabColor rgb="FFFF0000"/>
  </sheetPr>
  <dimension ref="A1:I18"/>
  <sheetViews>
    <sheetView workbookViewId="0">
      <selection activeCell="B4" sqref="B4:F4"/>
    </sheetView>
  </sheetViews>
  <sheetFormatPr defaultRowHeight="14.5"/>
  <cols>
    <col min="7" max="7" width="16.81640625" customWidth="1"/>
    <col min="9" max="9" width="41" bestFit="1" customWidth="1"/>
  </cols>
  <sheetData>
    <row r="1" spans="1:9">
      <c r="A1" s="73"/>
      <c r="B1" s="73"/>
      <c r="C1" s="73"/>
      <c r="D1" s="73"/>
      <c r="E1" s="73"/>
      <c r="F1" s="73"/>
      <c r="G1" s="73"/>
    </row>
    <row r="2" spans="1:9" ht="18.5">
      <c r="A2" s="73"/>
      <c r="B2" s="74" t="s">
        <v>103</v>
      </c>
      <c r="C2" s="74"/>
      <c r="D2" s="74"/>
      <c r="E2" s="74"/>
      <c r="F2" s="74"/>
      <c r="G2" s="73"/>
    </row>
    <row r="3" spans="1:9" ht="18.5">
      <c r="A3" s="73"/>
      <c r="B3" s="75"/>
      <c r="C3" s="75"/>
      <c r="D3" s="75"/>
      <c r="E3" s="75"/>
      <c r="F3" s="75"/>
      <c r="G3" s="73"/>
    </row>
    <row r="4" spans="1:9" ht="18.5">
      <c r="A4" s="73"/>
      <c r="B4" s="74" t="s">
        <v>179</v>
      </c>
      <c r="C4" s="74"/>
      <c r="D4" s="74"/>
      <c r="E4" s="74"/>
      <c r="F4" s="74"/>
      <c r="G4" s="73"/>
    </row>
    <row r="5" spans="1:9" ht="18.5">
      <c r="A5" s="73"/>
      <c r="B5" s="75"/>
      <c r="C5" s="75"/>
      <c r="D5" s="75"/>
      <c r="E5" s="75"/>
      <c r="F5" s="75"/>
      <c r="G5" s="73"/>
    </row>
    <row r="6" spans="1:9" ht="18.5">
      <c r="A6" s="73"/>
      <c r="B6" s="74" t="s">
        <v>178</v>
      </c>
      <c r="C6" s="74"/>
      <c r="D6" s="74"/>
      <c r="E6" s="74"/>
      <c r="F6" s="74"/>
      <c r="G6" s="73"/>
      <c r="I6" s="36" t="s">
        <v>138</v>
      </c>
    </row>
    <row r="7" spans="1:9" ht="18.5">
      <c r="A7" s="73"/>
      <c r="B7" s="75"/>
      <c r="C7" s="75"/>
      <c r="D7" s="75"/>
      <c r="E7" s="75"/>
      <c r="F7" s="75"/>
      <c r="G7" s="73"/>
    </row>
    <row r="8" spans="1:9" ht="18.5">
      <c r="A8" s="73"/>
      <c r="B8" s="76" t="s">
        <v>147</v>
      </c>
      <c r="C8" s="76"/>
      <c r="D8" s="76"/>
      <c r="E8" s="76"/>
      <c r="F8" s="76"/>
      <c r="G8" s="73"/>
    </row>
    <row r="9" spans="1:9" ht="18.5">
      <c r="A9" s="73"/>
      <c r="B9" s="75"/>
      <c r="C9" s="75"/>
      <c r="D9" s="75"/>
      <c r="E9" s="75"/>
      <c r="F9" s="75"/>
      <c r="G9" s="73"/>
    </row>
    <row r="10" spans="1:9" ht="18.5">
      <c r="A10" s="73"/>
      <c r="B10" s="74" t="s">
        <v>31</v>
      </c>
      <c r="C10" s="74"/>
      <c r="D10" s="74"/>
      <c r="E10" s="74"/>
      <c r="F10" s="74"/>
      <c r="G10" s="73"/>
    </row>
    <row r="11" spans="1:9" ht="18.5">
      <c r="A11" s="73"/>
      <c r="B11" s="77"/>
      <c r="C11" s="77"/>
      <c r="D11" s="77"/>
      <c r="E11" s="77"/>
      <c r="F11" s="77"/>
      <c r="G11" s="73"/>
    </row>
    <row r="12" spans="1:9">
      <c r="A12" s="2"/>
      <c r="B12" s="2"/>
      <c r="C12" s="2"/>
      <c r="D12" s="2"/>
      <c r="E12" s="2"/>
      <c r="F12" s="2"/>
      <c r="G12" s="2"/>
    </row>
    <row r="13" spans="1:9">
      <c r="A13" s="2"/>
      <c r="B13" s="2"/>
      <c r="C13" s="2"/>
      <c r="D13" s="2"/>
      <c r="E13" s="2"/>
      <c r="F13" s="2"/>
      <c r="G13" s="2"/>
    </row>
    <row r="14" spans="1:9">
      <c r="A14" s="2"/>
      <c r="B14" s="2"/>
      <c r="C14" s="2"/>
      <c r="D14" s="2"/>
      <c r="E14" s="2"/>
      <c r="F14" s="2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9"/>
  <sheetViews>
    <sheetView tabSelected="1" zoomScale="85" zoomScaleNormal="85" workbookViewId="0">
      <selection activeCell="E21" sqref="E21"/>
    </sheetView>
  </sheetViews>
  <sheetFormatPr defaultRowHeight="14.5"/>
  <cols>
    <col min="1" max="1" width="30.54296875" customWidth="1"/>
    <col min="2" max="2" width="13.453125" bestFit="1" customWidth="1"/>
    <col min="3" max="3" width="13.1796875" bestFit="1" customWidth="1"/>
    <col min="4" max="4" width="19.6328125" bestFit="1" customWidth="1"/>
    <col min="5" max="5" width="19.54296875" bestFit="1" customWidth="1"/>
    <col min="6" max="6" width="19" bestFit="1" customWidth="1"/>
    <col min="7" max="8" width="19.08984375" bestFit="1" customWidth="1"/>
  </cols>
  <sheetData>
    <row r="1" spans="1:9" ht="15.5" thickTop="1" thickBot="1">
      <c r="A1" s="38" t="s">
        <v>6</v>
      </c>
      <c r="B1" s="40"/>
      <c r="C1" s="40"/>
    </row>
    <row r="2" spans="1:9" ht="15" thickBot="1">
      <c r="A2" s="78" t="s">
        <v>139</v>
      </c>
      <c r="B2" s="79"/>
      <c r="C2" s="79"/>
      <c r="D2" s="41" t="s">
        <v>140</v>
      </c>
    </row>
    <row r="3" spans="1:9" ht="15" thickBot="1">
      <c r="A3" s="37"/>
      <c r="B3" s="37"/>
      <c r="C3" s="37"/>
      <c r="D3" s="36"/>
    </row>
    <row r="4" spans="1:9" ht="15.5" thickTop="1" thickBot="1">
      <c r="A4" s="17" t="s">
        <v>0</v>
      </c>
      <c r="B4" s="17" t="s">
        <v>1</v>
      </c>
      <c r="C4" s="1" t="s">
        <v>5</v>
      </c>
      <c r="D4" s="1" t="s">
        <v>35</v>
      </c>
      <c r="E4" s="1" t="s">
        <v>36</v>
      </c>
      <c r="F4" s="14" t="s">
        <v>37</v>
      </c>
      <c r="G4" s="14" t="s">
        <v>38</v>
      </c>
      <c r="H4" s="42" t="s">
        <v>145</v>
      </c>
    </row>
    <row r="5" spans="1:9" ht="15.5" thickTop="1" thickBot="1">
      <c r="A5" s="16" t="s">
        <v>104</v>
      </c>
      <c r="B5" s="16" t="s">
        <v>152</v>
      </c>
      <c r="C5" s="16" t="s">
        <v>154</v>
      </c>
      <c r="D5" s="15" t="s">
        <v>107</v>
      </c>
      <c r="E5" s="15" t="s">
        <v>110</v>
      </c>
      <c r="F5" s="27">
        <v>46568</v>
      </c>
      <c r="G5" s="27">
        <v>50770</v>
      </c>
      <c r="H5" s="72" t="s">
        <v>180</v>
      </c>
      <c r="I5" s="36" t="s">
        <v>176</v>
      </c>
    </row>
    <row r="6" spans="1:9" ht="15.5" thickTop="1" thickBot="1">
      <c r="A6" s="16" t="s">
        <v>104</v>
      </c>
      <c r="B6" s="16" t="s">
        <v>153</v>
      </c>
      <c r="C6" s="16" t="s">
        <v>155</v>
      </c>
      <c r="D6" s="15" t="s">
        <v>108</v>
      </c>
      <c r="E6" s="15" t="s">
        <v>109</v>
      </c>
      <c r="F6" s="27">
        <v>46568</v>
      </c>
      <c r="G6" s="27">
        <v>50770</v>
      </c>
      <c r="H6" s="72" t="s">
        <v>180</v>
      </c>
    </row>
    <row r="7" spans="1:9" ht="15" thickTop="1"/>
    <row r="9" spans="1:9" ht="29">
      <c r="C9" s="29" t="s">
        <v>42</v>
      </c>
    </row>
  </sheetData>
  <mergeCells count="1">
    <mergeCell ref="A2:C2"/>
  </mergeCells>
  <phoneticPr fontId="5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0FCA-7486-400E-8943-04E83E5E8B99}">
  <dimension ref="A1:E10"/>
  <sheetViews>
    <sheetView zoomScale="85" zoomScaleNormal="85" workbookViewId="0">
      <selection activeCell="F19" sqref="F19"/>
    </sheetView>
  </sheetViews>
  <sheetFormatPr defaultRowHeight="14.5"/>
  <cols>
    <col min="1" max="1" width="22.54296875" customWidth="1"/>
    <col min="2" max="2" width="18.1796875" bestFit="1" customWidth="1"/>
    <col min="3" max="3" width="31.90625" bestFit="1" customWidth="1"/>
    <col min="4" max="4" width="22.453125" bestFit="1" customWidth="1"/>
    <col min="5" max="5" width="15.81640625" bestFit="1" customWidth="1"/>
  </cols>
  <sheetData>
    <row r="1" spans="1:5" ht="15" thickTop="1">
      <c r="A1" s="43" t="s">
        <v>6</v>
      </c>
      <c r="B1" s="39"/>
      <c r="C1" s="40"/>
      <c r="D1" s="40"/>
    </row>
    <row r="2" spans="1:5">
      <c r="A2" s="37"/>
      <c r="B2" s="37"/>
      <c r="C2" s="37"/>
      <c r="D2" s="37"/>
    </row>
    <row r="3" spans="1:5">
      <c r="A3" s="44" t="s">
        <v>141</v>
      </c>
      <c r="B3" s="44" t="s">
        <v>142</v>
      </c>
      <c r="C3" s="44" t="s">
        <v>143</v>
      </c>
      <c r="D3" s="44" t="s">
        <v>144</v>
      </c>
      <c r="E3" s="45" t="s">
        <v>146</v>
      </c>
    </row>
    <row r="4" spans="1:5" ht="15" thickBot="1">
      <c r="A4" s="80" t="s">
        <v>149</v>
      </c>
      <c r="B4" s="80" t="s">
        <v>151</v>
      </c>
      <c r="C4" s="46" t="s">
        <v>164</v>
      </c>
      <c r="D4" s="47" t="s">
        <v>165</v>
      </c>
      <c r="E4" s="82" t="s">
        <v>166</v>
      </c>
    </row>
    <row r="5" spans="1:5" ht="30" thickTop="1" thickBot="1">
      <c r="A5" s="81"/>
      <c r="B5" s="81"/>
      <c r="C5" s="48" t="s">
        <v>163</v>
      </c>
      <c r="D5" s="49" t="s">
        <v>162</v>
      </c>
      <c r="E5" s="83"/>
    </row>
    <row r="6" spans="1:5" ht="15.5" thickTop="1" thickBot="1">
      <c r="A6" s="56" t="s">
        <v>150</v>
      </c>
      <c r="B6" s="56" t="s">
        <v>156</v>
      </c>
      <c r="C6" s="56" t="s">
        <v>168</v>
      </c>
      <c r="D6" s="56" t="s">
        <v>167</v>
      </c>
      <c r="E6" s="57" t="s">
        <v>21</v>
      </c>
    </row>
    <row r="7" spans="1:5" ht="15.5" thickTop="1" thickBot="1">
      <c r="A7" s="58" t="s">
        <v>148</v>
      </c>
      <c r="B7" s="58" t="s">
        <v>156</v>
      </c>
      <c r="C7" s="58" t="s">
        <v>21</v>
      </c>
      <c r="D7" s="58" t="s">
        <v>21</v>
      </c>
      <c r="E7" s="59" t="s">
        <v>21</v>
      </c>
    </row>
    <row r="8" spans="1:5" ht="15" thickBot="1">
      <c r="A8" s="87" t="s">
        <v>158</v>
      </c>
      <c r="B8" s="84" t="s">
        <v>159</v>
      </c>
      <c r="C8" s="50" t="s">
        <v>170</v>
      </c>
      <c r="D8" s="51" t="s">
        <v>169</v>
      </c>
      <c r="E8" s="90" t="s">
        <v>175</v>
      </c>
    </row>
    <row r="9" spans="1:5" ht="15.5" thickTop="1" thickBot="1">
      <c r="A9" s="88"/>
      <c r="B9" s="85"/>
      <c r="C9" s="52" t="s">
        <v>172</v>
      </c>
      <c r="D9" s="53" t="s">
        <v>171</v>
      </c>
      <c r="E9" s="88"/>
    </row>
    <row r="10" spans="1:5" ht="15.5" thickTop="1" thickBot="1">
      <c r="A10" s="89"/>
      <c r="B10" s="86"/>
      <c r="C10" s="54" t="s">
        <v>174</v>
      </c>
      <c r="D10" s="55" t="s">
        <v>173</v>
      </c>
      <c r="E10" s="89"/>
    </row>
  </sheetData>
  <mergeCells count="6">
    <mergeCell ref="B4:B5"/>
    <mergeCell ref="E4:E5"/>
    <mergeCell ref="A4:A5"/>
    <mergeCell ref="B8:B10"/>
    <mergeCell ref="A8:A10"/>
    <mergeCell ref="E8:E10"/>
  </mergeCells>
  <hyperlinks>
    <hyperlink ref="A1" location="Content!A1" display="Return" xr:uid="{94BA93D0-8E6A-4C75-BAD4-FA3BB3FDDC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topLeftCell="A8" zoomScale="44" zoomScaleNormal="55" workbookViewId="0">
      <selection activeCell="AG44" sqref="AG44"/>
    </sheetView>
  </sheetViews>
  <sheetFormatPr defaultRowHeight="14.5"/>
  <sheetData>
    <row r="1" spans="1:28">
      <c r="A1" s="5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" shapeId="37890" r:id="rId4">
          <objectPr defaultSize="0" r:id="rId5">
            <anchor moveWithCells="1">
              <from>
                <xdr:col>3</xdr:col>
                <xdr:colOff>571500</xdr:colOff>
                <xdr:row>4</xdr:row>
                <xdr:rowOff>152400</xdr:rowOff>
              </from>
              <to>
                <xdr:col>32</xdr:col>
                <xdr:colOff>69850</xdr:colOff>
                <xdr:row>52</xdr:row>
                <xdr:rowOff>76200</xdr:rowOff>
              </to>
            </anchor>
          </objectPr>
        </oleObject>
      </mc:Choice>
      <mc:Fallback>
        <oleObject progId="Visio" shapeId="37890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zoomScale="70" zoomScaleNormal="70" workbookViewId="0">
      <pane ySplit="2" topLeftCell="A3" activePane="bottomLeft" state="frozen"/>
      <selection pane="bottomLeft" activeCell="D11" sqref="D11:D12"/>
    </sheetView>
  </sheetViews>
  <sheetFormatPr defaultRowHeight="14.5"/>
  <cols>
    <col min="1" max="1" width="28.36328125" bestFit="1" customWidth="1"/>
    <col min="2" max="2" width="20.81640625" style="3" bestFit="1" customWidth="1"/>
    <col min="3" max="4" width="20.81640625" style="3" customWidth="1"/>
    <col min="5" max="5" width="15.1796875" style="3" bestFit="1" customWidth="1"/>
    <col min="6" max="6" width="43" style="6" bestFit="1" customWidth="1"/>
    <col min="7" max="7" width="43" style="3" bestFit="1" customWidth="1"/>
    <col min="8" max="8" width="20.453125" style="20" bestFit="1" customWidth="1"/>
    <col min="9" max="9" width="12.453125" style="3" bestFit="1" customWidth="1"/>
    <col min="10" max="10" width="15.81640625" style="3" bestFit="1" customWidth="1"/>
    <col min="11" max="11" width="24.36328125" style="6" bestFit="1" customWidth="1"/>
    <col min="12" max="12" width="22.1796875" style="3" bestFit="1" customWidth="1"/>
  </cols>
  <sheetData>
    <row r="1" spans="1:12" ht="15.5" thickTop="1" thickBot="1">
      <c r="A1" s="10"/>
      <c r="B1" s="91"/>
      <c r="C1" s="91"/>
      <c r="D1" s="91"/>
      <c r="E1" s="91"/>
      <c r="F1" s="92"/>
      <c r="G1" s="18"/>
      <c r="H1" s="19"/>
      <c r="I1" s="91"/>
      <c r="J1" s="91"/>
      <c r="K1" s="91"/>
      <c r="L1" s="91"/>
    </row>
    <row r="2" spans="1:12" ht="15" thickTop="1">
      <c r="A2" s="61" t="s">
        <v>5</v>
      </c>
      <c r="B2" s="21" t="s">
        <v>3</v>
      </c>
      <c r="C2" s="21" t="s">
        <v>25</v>
      </c>
      <c r="D2" s="21" t="s">
        <v>27</v>
      </c>
      <c r="E2" s="21" t="s">
        <v>2</v>
      </c>
      <c r="F2" s="62" t="s">
        <v>4</v>
      </c>
      <c r="G2" s="63" t="s">
        <v>22</v>
      </c>
      <c r="H2" s="64" t="s">
        <v>26</v>
      </c>
      <c r="I2" s="21" t="s">
        <v>17</v>
      </c>
      <c r="J2" s="21" t="s">
        <v>23</v>
      </c>
      <c r="K2" s="69" t="s">
        <v>177</v>
      </c>
      <c r="L2" s="21" t="s">
        <v>7</v>
      </c>
    </row>
    <row r="3" spans="1:12" s="9" customFormat="1">
      <c r="A3" s="93" t="s">
        <v>105</v>
      </c>
      <c r="B3" s="93" t="s">
        <v>43</v>
      </c>
      <c r="C3" s="93" t="s">
        <v>28</v>
      </c>
      <c r="D3" s="93" t="s">
        <v>29</v>
      </c>
      <c r="E3" s="93" t="s">
        <v>21</v>
      </c>
      <c r="F3" s="93" t="s">
        <v>89</v>
      </c>
      <c r="G3" s="93" t="s">
        <v>106</v>
      </c>
      <c r="H3" s="94" t="s">
        <v>21</v>
      </c>
      <c r="I3" s="93" t="s">
        <v>18</v>
      </c>
      <c r="J3" s="93" t="s">
        <v>77</v>
      </c>
      <c r="K3" s="65" t="s">
        <v>157</v>
      </c>
      <c r="L3" s="66"/>
    </row>
    <row r="4" spans="1:12">
      <c r="A4" s="93"/>
      <c r="B4" s="93"/>
      <c r="C4" s="93"/>
      <c r="D4" s="93"/>
      <c r="E4" s="93"/>
      <c r="F4" s="93"/>
      <c r="G4" s="93"/>
      <c r="H4" s="94"/>
      <c r="I4" s="93"/>
      <c r="J4" s="93"/>
      <c r="K4" s="65" t="s">
        <v>157</v>
      </c>
      <c r="L4" s="66"/>
    </row>
    <row r="5" spans="1:12">
      <c r="A5" s="93"/>
      <c r="B5" s="93" t="s">
        <v>39</v>
      </c>
      <c r="C5" s="93" t="s">
        <v>28</v>
      </c>
      <c r="D5" s="93" t="s">
        <v>29</v>
      </c>
      <c r="E5" s="66" t="s">
        <v>53</v>
      </c>
      <c r="F5" s="66" t="s">
        <v>55</v>
      </c>
      <c r="G5" s="66" t="s">
        <v>68</v>
      </c>
      <c r="H5" s="67" t="s">
        <v>72</v>
      </c>
      <c r="I5" s="66" t="s">
        <v>18</v>
      </c>
      <c r="J5" s="66" t="s">
        <v>77</v>
      </c>
      <c r="K5" s="65" t="s">
        <v>157</v>
      </c>
      <c r="L5" s="66"/>
    </row>
    <row r="6" spans="1:12">
      <c r="A6" s="93"/>
      <c r="B6" s="93"/>
      <c r="C6" s="93"/>
      <c r="D6" s="93"/>
      <c r="E6" s="66" t="s">
        <v>54</v>
      </c>
      <c r="F6" s="66" t="s">
        <v>73</v>
      </c>
      <c r="G6" s="66" t="s">
        <v>69</v>
      </c>
      <c r="H6" s="67" t="s">
        <v>72</v>
      </c>
      <c r="I6" s="66" t="s">
        <v>18</v>
      </c>
      <c r="J6" s="66" t="s">
        <v>77</v>
      </c>
      <c r="K6" s="65" t="s">
        <v>157</v>
      </c>
      <c r="L6" s="66"/>
    </row>
    <row r="7" spans="1:12">
      <c r="A7" s="93"/>
      <c r="B7" s="93" t="s">
        <v>44</v>
      </c>
      <c r="C7" s="93" t="s">
        <v>28</v>
      </c>
      <c r="D7" s="93" t="s">
        <v>29</v>
      </c>
      <c r="E7" s="31" t="s">
        <v>49</v>
      </c>
      <c r="F7" s="68" t="s">
        <v>52</v>
      </c>
      <c r="G7" s="31" t="s">
        <v>83</v>
      </c>
      <c r="H7" s="67" t="s">
        <v>70</v>
      </c>
      <c r="I7" s="66" t="s">
        <v>18</v>
      </c>
      <c r="J7" s="66" t="s">
        <v>77</v>
      </c>
      <c r="K7" s="65" t="s">
        <v>157</v>
      </c>
      <c r="L7" s="31"/>
    </row>
    <row r="8" spans="1:12">
      <c r="A8" s="93"/>
      <c r="B8" s="93"/>
      <c r="C8" s="93"/>
      <c r="D8" s="93"/>
      <c r="E8" s="31" t="s">
        <v>50</v>
      </c>
      <c r="F8" s="68" t="s">
        <v>51</v>
      </c>
      <c r="G8" s="31" t="s">
        <v>84</v>
      </c>
      <c r="H8" s="67" t="s">
        <v>71</v>
      </c>
      <c r="I8" s="66" t="s">
        <v>18</v>
      </c>
      <c r="J8" s="66" t="s">
        <v>77</v>
      </c>
      <c r="K8" s="65" t="s">
        <v>157</v>
      </c>
      <c r="L8" s="31"/>
    </row>
    <row r="9" spans="1:12">
      <c r="A9" s="93"/>
      <c r="B9" s="93" t="s">
        <v>45</v>
      </c>
      <c r="C9" s="93" t="s">
        <v>28</v>
      </c>
      <c r="D9" s="93" t="s">
        <v>48</v>
      </c>
      <c r="E9" s="66" t="s">
        <v>56</v>
      </c>
      <c r="F9" s="66" t="s">
        <v>59</v>
      </c>
      <c r="G9" s="66" t="s">
        <v>67</v>
      </c>
      <c r="H9" s="67" t="s">
        <v>75</v>
      </c>
      <c r="I9" s="66" t="s">
        <v>18</v>
      </c>
      <c r="J9" s="66" t="s">
        <v>77</v>
      </c>
      <c r="K9" s="65" t="s">
        <v>157</v>
      </c>
      <c r="L9" s="31"/>
    </row>
    <row r="10" spans="1:12">
      <c r="A10" s="93"/>
      <c r="B10" s="93"/>
      <c r="C10" s="93"/>
      <c r="D10" s="93"/>
      <c r="E10" s="66" t="s">
        <v>58</v>
      </c>
      <c r="F10" s="66" t="s">
        <v>60</v>
      </c>
      <c r="G10" s="66" t="s">
        <v>85</v>
      </c>
      <c r="H10" s="67" t="s">
        <v>76</v>
      </c>
      <c r="I10" s="66" t="s">
        <v>18</v>
      </c>
      <c r="J10" s="66" t="s">
        <v>77</v>
      </c>
      <c r="K10" s="65" t="s">
        <v>157</v>
      </c>
      <c r="L10" s="31"/>
    </row>
    <row r="11" spans="1:12">
      <c r="A11" s="93"/>
      <c r="B11" s="93" t="s">
        <v>46</v>
      </c>
      <c r="C11" s="93" t="s">
        <v>28</v>
      </c>
      <c r="D11" s="93" t="s">
        <v>29</v>
      </c>
      <c r="E11" s="31" t="s">
        <v>61</v>
      </c>
      <c r="F11" s="68" t="s">
        <v>63</v>
      </c>
      <c r="G11" s="31" t="s">
        <v>86</v>
      </c>
      <c r="H11" s="67" t="s">
        <v>72</v>
      </c>
      <c r="I11" s="66" t="s">
        <v>18</v>
      </c>
      <c r="J11" s="66" t="s">
        <v>77</v>
      </c>
      <c r="K11" s="65" t="s">
        <v>157</v>
      </c>
      <c r="L11" s="31"/>
    </row>
    <row r="12" spans="1:12">
      <c r="A12" s="93"/>
      <c r="B12" s="93"/>
      <c r="C12" s="93"/>
      <c r="D12" s="93"/>
      <c r="E12" s="31" t="s">
        <v>62</v>
      </c>
      <c r="F12" s="68" t="s">
        <v>64</v>
      </c>
      <c r="G12" s="31" t="s">
        <v>100</v>
      </c>
      <c r="H12" s="67" t="s">
        <v>72</v>
      </c>
      <c r="I12" s="66" t="s">
        <v>18</v>
      </c>
      <c r="J12" s="66" t="s">
        <v>77</v>
      </c>
      <c r="K12" s="65" t="s">
        <v>157</v>
      </c>
      <c r="L12" s="31"/>
    </row>
    <row r="13" spans="1:12">
      <c r="A13" s="93"/>
      <c r="B13" s="93" t="s">
        <v>47</v>
      </c>
      <c r="C13" s="93" t="s">
        <v>28</v>
      </c>
      <c r="D13" s="93" t="s">
        <v>29</v>
      </c>
      <c r="E13" s="66" t="s">
        <v>65</v>
      </c>
      <c r="F13" s="68" t="s">
        <v>111</v>
      </c>
      <c r="G13" s="31" t="s">
        <v>106</v>
      </c>
      <c r="H13" s="67" t="s">
        <v>87</v>
      </c>
      <c r="I13" s="66" t="s">
        <v>18</v>
      </c>
      <c r="J13" s="66" t="s">
        <v>77</v>
      </c>
      <c r="K13" s="65" t="s">
        <v>157</v>
      </c>
      <c r="L13" s="31"/>
    </row>
    <row r="14" spans="1:12">
      <c r="A14" s="93"/>
      <c r="B14" s="93"/>
      <c r="C14" s="93"/>
      <c r="D14" s="93"/>
      <c r="E14" s="31" t="s">
        <v>66</v>
      </c>
      <c r="F14" s="68" t="s">
        <v>112</v>
      </c>
      <c r="G14" s="31" t="s">
        <v>106</v>
      </c>
      <c r="H14" s="67" t="s">
        <v>88</v>
      </c>
      <c r="I14" s="66" t="s">
        <v>18</v>
      </c>
      <c r="J14" s="66" t="s">
        <v>77</v>
      </c>
      <c r="K14" s="65" t="s">
        <v>157</v>
      </c>
      <c r="L14" s="31"/>
    </row>
    <row r="15" spans="1:12">
      <c r="A15" s="93"/>
      <c r="B15" s="93" t="s">
        <v>41</v>
      </c>
      <c r="C15" s="93" t="s">
        <v>28</v>
      </c>
      <c r="D15" s="93" t="s">
        <v>29</v>
      </c>
      <c r="E15" s="66" t="s">
        <v>78</v>
      </c>
      <c r="F15" s="68" t="s">
        <v>40</v>
      </c>
      <c r="G15" s="31" t="s">
        <v>74</v>
      </c>
      <c r="H15" s="67" t="s">
        <v>81</v>
      </c>
      <c r="I15" s="66" t="s">
        <v>18</v>
      </c>
      <c r="J15" s="66" t="s">
        <v>80</v>
      </c>
      <c r="K15" s="65" t="s">
        <v>157</v>
      </c>
      <c r="L15" s="31"/>
    </row>
    <row r="16" spans="1:12">
      <c r="A16" s="93"/>
      <c r="B16" s="93"/>
      <c r="C16" s="93"/>
      <c r="D16" s="93"/>
      <c r="E16" s="31" t="s">
        <v>79</v>
      </c>
      <c r="F16" s="68" t="s">
        <v>40</v>
      </c>
      <c r="G16" s="31" t="s">
        <v>74</v>
      </c>
      <c r="H16" s="67" t="s">
        <v>82</v>
      </c>
      <c r="I16" s="66" t="s">
        <v>18</v>
      </c>
      <c r="J16" s="66" t="s">
        <v>80</v>
      </c>
      <c r="K16" s="65" t="s">
        <v>157</v>
      </c>
      <c r="L16" s="68"/>
    </row>
    <row r="17" spans="1:12" ht="17" customHeight="1">
      <c r="E17" s="3" t="s">
        <v>57</v>
      </c>
    </row>
    <row r="18" spans="1:12" ht="17" customHeight="1"/>
    <row r="19" spans="1:12" s="9" customFormat="1">
      <c r="A19" s="93" t="s">
        <v>106</v>
      </c>
      <c r="B19" s="93" t="s">
        <v>43</v>
      </c>
      <c r="C19" s="93" t="s">
        <v>28</v>
      </c>
      <c r="D19" s="93" t="s">
        <v>90</v>
      </c>
      <c r="E19" s="93" t="s">
        <v>21</v>
      </c>
      <c r="F19" s="93" t="s">
        <v>91</v>
      </c>
      <c r="G19" s="93" t="s">
        <v>105</v>
      </c>
      <c r="H19" s="94" t="s">
        <v>21</v>
      </c>
      <c r="I19" s="93" t="s">
        <v>18</v>
      </c>
      <c r="J19" s="93" t="s">
        <v>77</v>
      </c>
      <c r="K19" s="70" t="s">
        <v>157</v>
      </c>
      <c r="L19" s="66"/>
    </row>
    <row r="20" spans="1:12">
      <c r="A20" s="93"/>
      <c r="B20" s="93"/>
      <c r="C20" s="93"/>
      <c r="D20" s="93"/>
      <c r="E20" s="93"/>
      <c r="F20" s="93"/>
      <c r="G20" s="93"/>
      <c r="H20" s="94"/>
      <c r="I20" s="93"/>
      <c r="J20" s="93"/>
      <c r="K20" s="70" t="s">
        <v>157</v>
      </c>
      <c r="L20" s="66"/>
    </row>
    <row r="21" spans="1:12">
      <c r="A21" s="93"/>
      <c r="B21" s="93" t="s">
        <v>39</v>
      </c>
      <c r="C21" s="93" t="s">
        <v>28</v>
      </c>
      <c r="D21" s="93" t="s">
        <v>29</v>
      </c>
      <c r="E21" s="66" t="s">
        <v>53</v>
      </c>
      <c r="F21" s="66" t="s">
        <v>92</v>
      </c>
      <c r="G21" s="66" t="s">
        <v>68</v>
      </c>
      <c r="H21" s="67" t="s">
        <v>70</v>
      </c>
      <c r="I21" s="66" t="s">
        <v>18</v>
      </c>
      <c r="J21" s="66" t="s">
        <v>77</v>
      </c>
      <c r="K21" s="70" t="s">
        <v>157</v>
      </c>
      <c r="L21" s="66"/>
    </row>
    <row r="22" spans="1:12">
      <c r="A22" s="93"/>
      <c r="B22" s="93"/>
      <c r="C22" s="93"/>
      <c r="D22" s="93"/>
      <c r="E22" s="66" t="s">
        <v>54</v>
      </c>
      <c r="F22" s="66" t="s">
        <v>93</v>
      </c>
      <c r="G22" s="66" t="s">
        <v>69</v>
      </c>
      <c r="H22" s="67" t="s">
        <v>70</v>
      </c>
      <c r="I22" s="66" t="s">
        <v>18</v>
      </c>
      <c r="J22" s="66" t="s">
        <v>77</v>
      </c>
      <c r="K22" s="70" t="s">
        <v>157</v>
      </c>
      <c r="L22" s="66"/>
    </row>
    <row r="23" spans="1:12">
      <c r="A23" s="93"/>
      <c r="B23" s="93" t="s">
        <v>44</v>
      </c>
      <c r="C23" s="93" t="s">
        <v>28</v>
      </c>
      <c r="D23" s="93" t="s">
        <v>29</v>
      </c>
      <c r="E23" s="31" t="s">
        <v>49</v>
      </c>
      <c r="F23" s="68" t="s">
        <v>94</v>
      </c>
      <c r="G23" s="31" t="s">
        <v>83</v>
      </c>
      <c r="H23" s="67" t="s">
        <v>72</v>
      </c>
      <c r="I23" s="66" t="s">
        <v>18</v>
      </c>
      <c r="J23" s="66" t="s">
        <v>77</v>
      </c>
      <c r="K23" s="70" t="s">
        <v>157</v>
      </c>
      <c r="L23" s="31"/>
    </row>
    <row r="24" spans="1:12">
      <c r="A24" s="93"/>
      <c r="B24" s="93"/>
      <c r="C24" s="93"/>
      <c r="D24" s="93"/>
      <c r="E24" s="31" t="s">
        <v>50</v>
      </c>
      <c r="F24" s="68" t="s">
        <v>95</v>
      </c>
      <c r="G24" s="31" t="s">
        <v>84</v>
      </c>
      <c r="H24" s="67" t="s">
        <v>72</v>
      </c>
      <c r="I24" s="66" t="s">
        <v>18</v>
      </c>
      <c r="J24" s="66" t="s">
        <v>77</v>
      </c>
      <c r="K24" s="70" t="s">
        <v>157</v>
      </c>
      <c r="L24" s="31"/>
    </row>
    <row r="25" spans="1:12">
      <c r="A25" s="93"/>
      <c r="B25" s="93" t="s">
        <v>45</v>
      </c>
      <c r="C25" s="93" t="s">
        <v>28</v>
      </c>
      <c r="D25" s="93" t="s">
        <v>48</v>
      </c>
      <c r="E25" s="66" t="s">
        <v>56</v>
      </c>
      <c r="F25" s="66" t="s">
        <v>96</v>
      </c>
      <c r="G25" s="66" t="s">
        <v>67</v>
      </c>
      <c r="H25" s="67" t="s">
        <v>70</v>
      </c>
      <c r="I25" s="66" t="s">
        <v>18</v>
      </c>
      <c r="J25" s="66" t="s">
        <v>77</v>
      </c>
      <c r="K25" s="70" t="s">
        <v>157</v>
      </c>
      <c r="L25" s="31"/>
    </row>
    <row r="26" spans="1:12">
      <c r="A26" s="93"/>
      <c r="B26" s="93"/>
      <c r="C26" s="93"/>
      <c r="D26" s="93"/>
      <c r="E26" s="66" t="s">
        <v>58</v>
      </c>
      <c r="F26" s="66" t="s">
        <v>97</v>
      </c>
      <c r="G26" s="66" t="s">
        <v>85</v>
      </c>
      <c r="H26" s="67" t="s">
        <v>70</v>
      </c>
      <c r="I26" s="66" t="s">
        <v>18</v>
      </c>
      <c r="J26" s="66" t="s">
        <v>77</v>
      </c>
      <c r="K26" s="70" t="s">
        <v>157</v>
      </c>
      <c r="L26" s="31"/>
    </row>
    <row r="27" spans="1:12">
      <c r="A27" s="93"/>
      <c r="B27" s="93" t="s">
        <v>46</v>
      </c>
      <c r="C27" s="93" t="s">
        <v>28</v>
      </c>
      <c r="D27" s="93" t="s">
        <v>29</v>
      </c>
      <c r="E27" s="31" t="s">
        <v>61</v>
      </c>
      <c r="F27" s="68" t="s">
        <v>98</v>
      </c>
      <c r="G27" s="31" t="s">
        <v>86</v>
      </c>
      <c r="H27" s="67" t="s">
        <v>70</v>
      </c>
      <c r="I27" s="66" t="s">
        <v>18</v>
      </c>
      <c r="J27" s="66" t="s">
        <v>77</v>
      </c>
      <c r="K27" s="70" t="s">
        <v>157</v>
      </c>
      <c r="L27" s="31"/>
    </row>
    <row r="28" spans="1:12">
      <c r="A28" s="93"/>
      <c r="B28" s="93"/>
      <c r="C28" s="93"/>
      <c r="D28" s="93"/>
      <c r="E28" s="31" t="s">
        <v>62</v>
      </c>
      <c r="F28" s="68" t="s">
        <v>99</v>
      </c>
      <c r="G28" s="31" t="s">
        <v>100</v>
      </c>
      <c r="H28" s="67" t="s">
        <v>70</v>
      </c>
      <c r="I28" s="66" t="s">
        <v>18</v>
      </c>
      <c r="J28" s="66" t="s">
        <v>77</v>
      </c>
      <c r="K28" s="70" t="s">
        <v>157</v>
      </c>
      <c r="L28" s="31"/>
    </row>
    <row r="29" spans="1:12">
      <c r="A29" s="93"/>
      <c r="B29" s="93" t="s">
        <v>47</v>
      </c>
      <c r="C29" s="93" t="s">
        <v>28</v>
      </c>
      <c r="D29" s="93" t="s">
        <v>29</v>
      </c>
      <c r="E29" s="66" t="s">
        <v>65</v>
      </c>
      <c r="F29" s="68" t="s">
        <v>113</v>
      </c>
      <c r="G29" s="31" t="s">
        <v>105</v>
      </c>
      <c r="H29" s="67" t="s">
        <v>87</v>
      </c>
      <c r="I29" s="66" t="s">
        <v>18</v>
      </c>
      <c r="J29" s="66" t="s">
        <v>77</v>
      </c>
      <c r="K29" s="70" t="s">
        <v>157</v>
      </c>
      <c r="L29" s="31"/>
    </row>
    <row r="30" spans="1:12">
      <c r="A30" s="93"/>
      <c r="B30" s="93"/>
      <c r="C30" s="93"/>
      <c r="D30" s="93"/>
      <c r="E30" s="31" t="s">
        <v>66</v>
      </c>
      <c r="F30" s="68" t="s">
        <v>114</v>
      </c>
      <c r="G30" s="31" t="s">
        <v>105</v>
      </c>
      <c r="H30" s="67" t="s">
        <v>88</v>
      </c>
      <c r="I30" s="66" t="s">
        <v>18</v>
      </c>
      <c r="J30" s="66" t="s">
        <v>77</v>
      </c>
      <c r="K30" s="70" t="s">
        <v>157</v>
      </c>
      <c r="L30" s="31"/>
    </row>
    <row r="31" spans="1:12">
      <c r="A31" s="93"/>
      <c r="B31" s="93" t="s">
        <v>41</v>
      </c>
      <c r="C31" s="93" t="s">
        <v>28</v>
      </c>
      <c r="D31" s="93" t="s">
        <v>29</v>
      </c>
      <c r="E31" s="66" t="s">
        <v>78</v>
      </c>
      <c r="F31" s="68" t="s">
        <v>40</v>
      </c>
      <c r="G31" s="31" t="s">
        <v>74</v>
      </c>
      <c r="H31" s="67" t="s">
        <v>101</v>
      </c>
      <c r="I31" s="66" t="s">
        <v>18</v>
      </c>
      <c r="J31" s="66" t="s">
        <v>80</v>
      </c>
      <c r="K31" s="70" t="s">
        <v>157</v>
      </c>
      <c r="L31" s="31"/>
    </row>
    <row r="32" spans="1:12">
      <c r="A32" s="93"/>
      <c r="B32" s="93"/>
      <c r="C32" s="93"/>
      <c r="D32" s="93"/>
      <c r="E32" s="31" t="s">
        <v>79</v>
      </c>
      <c r="F32" s="68" t="s">
        <v>40</v>
      </c>
      <c r="G32" s="31" t="s">
        <v>74</v>
      </c>
      <c r="H32" s="67" t="s">
        <v>102</v>
      </c>
      <c r="I32" s="66" t="s">
        <v>18</v>
      </c>
      <c r="J32" s="66" t="s">
        <v>80</v>
      </c>
      <c r="K32" s="70" t="s">
        <v>157</v>
      </c>
      <c r="L32" s="68"/>
    </row>
  </sheetData>
  <mergeCells count="58">
    <mergeCell ref="I19:I20"/>
    <mergeCell ref="J19:J20"/>
    <mergeCell ref="B31:B32"/>
    <mergeCell ref="C31:C32"/>
    <mergeCell ref="D31:D32"/>
    <mergeCell ref="C21:C22"/>
    <mergeCell ref="D21:D22"/>
    <mergeCell ref="B23:B24"/>
    <mergeCell ref="C23:C24"/>
    <mergeCell ref="D23:D24"/>
    <mergeCell ref="B25:B26"/>
    <mergeCell ref="C25:C26"/>
    <mergeCell ref="A19:A32"/>
    <mergeCell ref="E19:E20"/>
    <mergeCell ref="F19:F20"/>
    <mergeCell ref="G19:G20"/>
    <mergeCell ref="H19:H20"/>
    <mergeCell ref="D25:D26"/>
    <mergeCell ref="B27:B28"/>
    <mergeCell ref="C27:C28"/>
    <mergeCell ref="D27:D28"/>
    <mergeCell ref="B29:B30"/>
    <mergeCell ref="C29:C30"/>
    <mergeCell ref="D29:D30"/>
    <mergeCell ref="B19:B20"/>
    <mergeCell ref="C19:C20"/>
    <mergeCell ref="D19:D20"/>
    <mergeCell ref="B21:B22"/>
    <mergeCell ref="B11:B12"/>
    <mergeCell ref="A3:A16"/>
    <mergeCell ref="E3:E4"/>
    <mergeCell ref="F3:F4"/>
    <mergeCell ref="C11:C12"/>
    <mergeCell ref="D11:D12"/>
    <mergeCell ref="D9:D10"/>
    <mergeCell ref="D7:D8"/>
    <mergeCell ref="D5:D6"/>
    <mergeCell ref="D13:D14"/>
    <mergeCell ref="C13:C14"/>
    <mergeCell ref="B13:B14"/>
    <mergeCell ref="B3:B4"/>
    <mergeCell ref="B15:B16"/>
    <mergeCell ref="C15:C16"/>
    <mergeCell ref="D15:D16"/>
    <mergeCell ref="B1:F1"/>
    <mergeCell ref="I1:L1"/>
    <mergeCell ref="B5:B6"/>
    <mergeCell ref="B9:B10"/>
    <mergeCell ref="B7:B8"/>
    <mergeCell ref="C7:C8"/>
    <mergeCell ref="C5:C6"/>
    <mergeCell ref="C3:C4"/>
    <mergeCell ref="C9:C10"/>
    <mergeCell ref="G3:G4"/>
    <mergeCell ref="H3:H4"/>
    <mergeCell ref="I3:I4"/>
    <mergeCell ref="J3:J4"/>
    <mergeCell ref="D3:D4"/>
  </mergeCells>
  <phoneticPr fontId="5" type="noConversion"/>
  <conditionalFormatting sqref="B2:E2">
    <cfRule type="duplicateValues" dxfId="1" priority="7" stopIfTrue="1"/>
    <cfRule type="duplicateValues" dxfId="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25"/>
  <sheetViews>
    <sheetView topLeftCell="B1" zoomScale="87" zoomScaleNormal="70" workbookViewId="0">
      <selection activeCell="F9" sqref="F9"/>
    </sheetView>
  </sheetViews>
  <sheetFormatPr defaultRowHeight="14.5"/>
  <cols>
    <col min="1" max="1" width="27.54296875" bestFit="1" customWidth="1"/>
    <col min="2" max="2" width="13.453125" style="7" customWidth="1"/>
    <col min="3" max="3" width="50.816406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  <col min="13" max="13" width="13.54296875" bestFit="1" customWidth="1"/>
    <col min="14" max="14" width="21.453125" bestFit="1" customWidth="1"/>
    <col min="16" max="16" width="12.90625" style="3" customWidth="1"/>
    <col min="17" max="17" width="16.36328125" style="3" bestFit="1" customWidth="1"/>
    <col min="18" max="18" width="13.54296875" style="3" bestFit="1" customWidth="1"/>
    <col min="19" max="19" width="23.81640625" style="3" bestFit="1" customWidth="1"/>
  </cols>
  <sheetData>
    <row r="2" spans="1:14">
      <c r="A2" s="33" t="s">
        <v>5</v>
      </c>
      <c r="B2" s="34" t="s">
        <v>20</v>
      </c>
      <c r="C2" s="35" t="s">
        <v>19</v>
      </c>
      <c r="D2" s="35" t="s">
        <v>24</v>
      </c>
      <c r="E2" s="35" t="s">
        <v>13</v>
      </c>
      <c r="F2" s="35" t="s">
        <v>30</v>
      </c>
      <c r="G2" s="35" t="s">
        <v>14</v>
      </c>
      <c r="H2" s="35" t="s">
        <v>15</v>
      </c>
      <c r="I2" s="35" t="s">
        <v>16</v>
      </c>
      <c r="J2" s="35" t="s">
        <v>116</v>
      </c>
      <c r="K2" s="35" t="s">
        <v>32</v>
      </c>
      <c r="L2" s="35" t="s">
        <v>33</v>
      </c>
      <c r="M2" s="35" t="s">
        <v>131</v>
      </c>
      <c r="N2" s="60" t="s">
        <v>177</v>
      </c>
    </row>
    <row r="3" spans="1:14">
      <c r="A3" s="95" t="s">
        <v>105</v>
      </c>
      <c r="B3" s="32">
        <v>100</v>
      </c>
      <c r="C3" s="13" t="s">
        <v>115</v>
      </c>
      <c r="D3" s="13" t="s">
        <v>21</v>
      </c>
      <c r="E3" s="13" t="s">
        <v>21</v>
      </c>
      <c r="F3" s="13" t="s">
        <v>21</v>
      </c>
      <c r="G3" s="13" t="s">
        <v>21</v>
      </c>
      <c r="H3" s="13" t="s">
        <v>21</v>
      </c>
      <c r="I3" s="13" t="s">
        <v>21</v>
      </c>
      <c r="J3" s="13" t="s">
        <v>21</v>
      </c>
      <c r="K3" s="31" t="s">
        <v>126</v>
      </c>
      <c r="L3" s="31" t="s">
        <v>127</v>
      </c>
      <c r="M3" s="31" t="s">
        <v>21</v>
      </c>
      <c r="N3" s="31" t="s">
        <v>157</v>
      </c>
    </row>
    <row r="4" spans="1:14">
      <c r="A4" s="95"/>
      <c r="B4" s="32">
        <v>101</v>
      </c>
      <c r="C4" s="13" t="s">
        <v>117</v>
      </c>
      <c r="D4" s="13" t="s">
        <v>21</v>
      </c>
      <c r="E4" s="13" t="s">
        <v>21</v>
      </c>
      <c r="F4" s="13" t="s">
        <v>21</v>
      </c>
      <c r="G4" s="13" t="s">
        <v>21</v>
      </c>
      <c r="H4" s="13" t="s">
        <v>21</v>
      </c>
      <c r="I4" s="13" t="s">
        <v>21</v>
      </c>
      <c r="J4" s="13" t="s">
        <v>21</v>
      </c>
      <c r="K4" s="31" t="s">
        <v>126</v>
      </c>
      <c r="L4" s="31" t="s">
        <v>128</v>
      </c>
      <c r="M4" s="31" t="s">
        <v>129</v>
      </c>
      <c r="N4" s="31" t="s">
        <v>157</v>
      </c>
    </row>
    <row r="5" spans="1:14">
      <c r="A5" s="95"/>
      <c r="B5" s="32">
        <v>102</v>
      </c>
      <c r="C5" s="13" t="s">
        <v>118</v>
      </c>
      <c r="D5" s="13" t="s">
        <v>21</v>
      </c>
      <c r="E5" s="13" t="s">
        <v>21</v>
      </c>
      <c r="F5" s="13" t="s">
        <v>21</v>
      </c>
      <c r="G5" s="13" t="s">
        <v>21</v>
      </c>
      <c r="H5" s="13" t="s">
        <v>21</v>
      </c>
      <c r="I5" s="13" t="s">
        <v>21</v>
      </c>
      <c r="J5" s="13" t="s">
        <v>21</v>
      </c>
      <c r="K5" s="31" t="s">
        <v>126</v>
      </c>
      <c r="L5" s="31" t="s">
        <v>128</v>
      </c>
      <c r="M5" s="31" t="s">
        <v>129</v>
      </c>
      <c r="N5" s="31" t="s">
        <v>157</v>
      </c>
    </row>
    <row r="6" spans="1:14">
      <c r="A6" s="95"/>
      <c r="B6" s="32">
        <v>103</v>
      </c>
      <c r="C6" s="13" t="s">
        <v>119</v>
      </c>
      <c r="D6" s="13" t="s">
        <v>21</v>
      </c>
      <c r="E6" s="13" t="s">
        <v>21</v>
      </c>
      <c r="F6" s="13" t="s">
        <v>21</v>
      </c>
      <c r="G6" s="13" t="s">
        <v>21</v>
      </c>
      <c r="H6" s="13" t="s">
        <v>21</v>
      </c>
      <c r="I6" s="13" t="s">
        <v>21</v>
      </c>
      <c r="J6" s="13" t="s">
        <v>21</v>
      </c>
      <c r="K6" s="31" t="s">
        <v>126</v>
      </c>
      <c r="L6" s="31" t="s">
        <v>128</v>
      </c>
      <c r="M6" s="31" t="s">
        <v>129</v>
      </c>
      <c r="N6" s="31" t="s">
        <v>157</v>
      </c>
    </row>
    <row r="7" spans="1:14">
      <c r="A7" s="95"/>
      <c r="B7" s="32">
        <v>104</v>
      </c>
      <c r="C7" s="13" t="s">
        <v>120</v>
      </c>
      <c r="D7" s="13" t="s">
        <v>21</v>
      </c>
      <c r="E7" s="13" t="s">
        <v>21</v>
      </c>
      <c r="F7" s="13" t="s">
        <v>21</v>
      </c>
      <c r="G7" s="13" t="s">
        <v>21</v>
      </c>
      <c r="H7" s="13" t="s">
        <v>21</v>
      </c>
      <c r="I7" s="13" t="s">
        <v>21</v>
      </c>
      <c r="J7" s="13" t="s">
        <v>21</v>
      </c>
      <c r="K7" s="31" t="s">
        <v>126</v>
      </c>
      <c r="L7" s="31" t="s">
        <v>127</v>
      </c>
      <c r="M7" s="31" t="s">
        <v>129</v>
      </c>
      <c r="N7" s="31" t="s">
        <v>157</v>
      </c>
    </row>
    <row r="8" spans="1:14">
      <c r="A8" s="95"/>
      <c r="B8" s="32">
        <v>105</v>
      </c>
      <c r="C8" s="13" t="s">
        <v>120</v>
      </c>
      <c r="D8" s="13" t="s">
        <v>21</v>
      </c>
      <c r="E8" s="13" t="s">
        <v>21</v>
      </c>
      <c r="F8" s="13" t="s">
        <v>21</v>
      </c>
      <c r="G8" s="13" t="s">
        <v>21</v>
      </c>
      <c r="H8" s="13" t="s">
        <v>21</v>
      </c>
      <c r="I8" s="13" t="s">
        <v>21</v>
      </c>
      <c r="J8" s="13" t="s">
        <v>21</v>
      </c>
      <c r="K8" s="31" t="s">
        <v>126</v>
      </c>
      <c r="L8" s="31" t="s">
        <v>127</v>
      </c>
      <c r="M8" s="31" t="s">
        <v>129</v>
      </c>
      <c r="N8" s="31" t="s">
        <v>157</v>
      </c>
    </row>
    <row r="9" spans="1:14">
      <c r="A9" s="95"/>
      <c r="B9" s="32">
        <v>130</v>
      </c>
      <c r="C9" s="13" t="s">
        <v>121</v>
      </c>
      <c r="D9" s="13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31" t="s">
        <v>126</v>
      </c>
      <c r="L9" s="31" t="s">
        <v>130</v>
      </c>
      <c r="M9" s="31" t="s">
        <v>128</v>
      </c>
      <c r="N9" s="31" t="s">
        <v>157</v>
      </c>
    </row>
    <row r="10" spans="1:14">
      <c r="A10" s="95"/>
      <c r="B10" s="32">
        <v>135</v>
      </c>
      <c r="C10" s="13" t="s">
        <v>122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31" t="s">
        <v>126</v>
      </c>
      <c r="L10" s="31" t="s">
        <v>127</v>
      </c>
      <c r="M10" s="31" t="s">
        <v>128</v>
      </c>
      <c r="N10" s="31" t="s">
        <v>157</v>
      </c>
    </row>
    <row r="11" spans="1:14">
      <c r="A11" s="95"/>
      <c r="B11" s="32">
        <v>150</v>
      </c>
      <c r="C11" s="13" t="s">
        <v>123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31" t="s">
        <v>126</v>
      </c>
      <c r="L11" s="31" t="s">
        <v>128</v>
      </c>
      <c r="M11" s="31" t="s">
        <v>129</v>
      </c>
      <c r="N11" s="31" t="s">
        <v>157</v>
      </c>
    </row>
    <row r="12" spans="1:14">
      <c r="A12" s="95"/>
      <c r="B12" s="32">
        <v>300</v>
      </c>
      <c r="C12" s="13" t="s">
        <v>124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31" t="s">
        <v>126</v>
      </c>
      <c r="L12" s="31" t="s">
        <v>130</v>
      </c>
      <c r="M12" s="31" t="s">
        <v>127</v>
      </c>
      <c r="N12" s="31" t="s">
        <v>157</v>
      </c>
    </row>
    <row r="13" spans="1:14">
      <c r="A13" s="95"/>
      <c r="B13" s="32">
        <v>301</v>
      </c>
      <c r="C13" s="13" t="s">
        <v>125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31" t="s">
        <v>126</v>
      </c>
      <c r="L13" s="31" t="s">
        <v>130</v>
      </c>
      <c r="M13" s="31" t="s">
        <v>128</v>
      </c>
      <c r="N13" s="31" t="s">
        <v>157</v>
      </c>
    </row>
    <row r="14" spans="1:14">
      <c r="A14" s="33" t="s">
        <v>5</v>
      </c>
      <c r="B14" s="34" t="s">
        <v>20</v>
      </c>
      <c r="C14" s="35" t="s">
        <v>19</v>
      </c>
      <c r="D14" s="35" t="s">
        <v>24</v>
      </c>
      <c r="E14" s="35" t="s">
        <v>13</v>
      </c>
      <c r="F14" s="35" t="s">
        <v>30</v>
      </c>
      <c r="G14" s="35" t="s">
        <v>14</v>
      </c>
      <c r="H14" s="35" t="s">
        <v>15</v>
      </c>
      <c r="I14" s="35" t="s">
        <v>16</v>
      </c>
      <c r="J14" s="35" t="s">
        <v>116</v>
      </c>
      <c r="K14" s="35" t="s">
        <v>32</v>
      </c>
      <c r="L14" s="35" t="s">
        <v>33</v>
      </c>
      <c r="M14" s="35" t="s">
        <v>131</v>
      </c>
      <c r="N14" s="71"/>
    </row>
    <row r="15" spans="1:14">
      <c r="A15" s="95" t="s">
        <v>106</v>
      </c>
      <c r="B15" s="32">
        <v>100</v>
      </c>
      <c r="C15" s="13" t="s">
        <v>115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31" t="s">
        <v>126</v>
      </c>
      <c r="L15" s="31" t="s">
        <v>127</v>
      </c>
      <c r="M15" s="31" t="s">
        <v>21</v>
      </c>
      <c r="N15" s="31" t="s">
        <v>157</v>
      </c>
    </row>
    <row r="16" spans="1:14">
      <c r="A16" s="95"/>
      <c r="B16" s="32">
        <v>101</v>
      </c>
      <c r="C16" s="13" t="s">
        <v>132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31" t="s">
        <v>126</v>
      </c>
      <c r="L16" s="31" t="s">
        <v>128</v>
      </c>
      <c r="M16" s="31" t="s">
        <v>129</v>
      </c>
      <c r="N16" s="31" t="s">
        <v>157</v>
      </c>
    </row>
    <row r="17" spans="1:14">
      <c r="A17" s="95"/>
      <c r="B17" s="32">
        <v>102</v>
      </c>
      <c r="C17" s="13" t="s">
        <v>133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31" t="s">
        <v>126</v>
      </c>
      <c r="L17" s="31" t="s">
        <v>128</v>
      </c>
      <c r="M17" s="31" t="s">
        <v>129</v>
      </c>
      <c r="N17" s="31" t="s">
        <v>157</v>
      </c>
    </row>
    <row r="18" spans="1:14">
      <c r="A18" s="95"/>
      <c r="B18" s="32">
        <v>103</v>
      </c>
      <c r="C18" s="13" t="s">
        <v>134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31" t="s">
        <v>126</v>
      </c>
      <c r="L18" s="31" t="s">
        <v>128</v>
      </c>
      <c r="M18" s="31" t="s">
        <v>129</v>
      </c>
      <c r="N18" s="31" t="s">
        <v>157</v>
      </c>
    </row>
    <row r="19" spans="1:14">
      <c r="A19" s="95"/>
      <c r="B19" s="32">
        <v>104</v>
      </c>
      <c r="C19" s="13" t="s">
        <v>135</v>
      </c>
      <c r="D19" s="13" t="s">
        <v>21</v>
      </c>
      <c r="E19" s="13" t="s">
        <v>21</v>
      </c>
      <c r="F19" s="13" t="s">
        <v>21</v>
      </c>
      <c r="G19" s="13" t="s">
        <v>21</v>
      </c>
      <c r="H19" s="13" t="s">
        <v>21</v>
      </c>
      <c r="I19" s="13" t="s">
        <v>21</v>
      </c>
      <c r="J19" s="13" t="s">
        <v>21</v>
      </c>
      <c r="K19" s="31" t="s">
        <v>126</v>
      </c>
      <c r="L19" s="31" t="s">
        <v>127</v>
      </c>
      <c r="M19" s="31" t="s">
        <v>129</v>
      </c>
      <c r="N19" s="31" t="s">
        <v>157</v>
      </c>
    </row>
    <row r="20" spans="1:14">
      <c r="A20" s="95"/>
      <c r="B20" s="32">
        <v>105</v>
      </c>
      <c r="C20" s="13" t="s">
        <v>135</v>
      </c>
      <c r="D20" s="13" t="s">
        <v>21</v>
      </c>
      <c r="E20" s="13" t="s">
        <v>21</v>
      </c>
      <c r="F20" s="13" t="s">
        <v>21</v>
      </c>
      <c r="G20" s="13" t="s">
        <v>21</v>
      </c>
      <c r="H20" s="13" t="s">
        <v>21</v>
      </c>
      <c r="I20" s="13" t="s">
        <v>21</v>
      </c>
      <c r="J20" s="13" t="s">
        <v>21</v>
      </c>
      <c r="K20" s="31" t="s">
        <v>126</v>
      </c>
      <c r="L20" s="31" t="s">
        <v>127</v>
      </c>
      <c r="M20" s="31" t="s">
        <v>129</v>
      </c>
      <c r="N20" s="31" t="s">
        <v>157</v>
      </c>
    </row>
    <row r="21" spans="1:14">
      <c r="A21" s="95"/>
      <c r="B21" s="32">
        <v>130</v>
      </c>
      <c r="C21" s="13" t="s">
        <v>121</v>
      </c>
      <c r="D21" s="13" t="s">
        <v>21</v>
      </c>
      <c r="E21" s="13" t="s">
        <v>21</v>
      </c>
      <c r="F21" s="13" t="s">
        <v>21</v>
      </c>
      <c r="G21" s="13" t="s">
        <v>21</v>
      </c>
      <c r="H21" s="13" t="s">
        <v>21</v>
      </c>
      <c r="I21" s="13" t="s">
        <v>21</v>
      </c>
      <c r="J21" s="13" t="s">
        <v>21</v>
      </c>
      <c r="K21" s="31" t="s">
        <v>126</v>
      </c>
      <c r="L21" s="31" t="s">
        <v>130</v>
      </c>
      <c r="M21" s="31" t="s">
        <v>128</v>
      </c>
      <c r="N21" s="31" t="s">
        <v>157</v>
      </c>
    </row>
    <row r="22" spans="1:14">
      <c r="A22" s="95"/>
      <c r="B22" s="32">
        <v>135</v>
      </c>
      <c r="C22" s="13" t="s">
        <v>122</v>
      </c>
      <c r="D22" s="13" t="s">
        <v>21</v>
      </c>
      <c r="E22" s="13" t="s">
        <v>21</v>
      </c>
      <c r="F22" s="13" t="s">
        <v>21</v>
      </c>
      <c r="G22" s="13" t="s">
        <v>21</v>
      </c>
      <c r="H22" s="13" t="s">
        <v>21</v>
      </c>
      <c r="I22" s="13" t="s">
        <v>21</v>
      </c>
      <c r="J22" s="13" t="s">
        <v>21</v>
      </c>
      <c r="K22" s="31" t="s">
        <v>126</v>
      </c>
      <c r="L22" s="31" t="s">
        <v>127</v>
      </c>
      <c r="M22" s="31" t="s">
        <v>128</v>
      </c>
      <c r="N22" s="31" t="s">
        <v>157</v>
      </c>
    </row>
    <row r="23" spans="1:14">
      <c r="A23" s="95"/>
      <c r="B23" s="32">
        <v>150</v>
      </c>
      <c r="C23" s="13" t="s">
        <v>123</v>
      </c>
      <c r="D23" s="13" t="s">
        <v>21</v>
      </c>
      <c r="E23" s="13" t="s">
        <v>21</v>
      </c>
      <c r="F23" s="13" t="s">
        <v>21</v>
      </c>
      <c r="G23" s="13" t="s">
        <v>21</v>
      </c>
      <c r="H23" s="13" t="s">
        <v>21</v>
      </c>
      <c r="I23" s="13" t="s">
        <v>21</v>
      </c>
      <c r="J23" s="13" t="s">
        <v>21</v>
      </c>
      <c r="K23" s="31" t="s">
        <v>126</v>
      </c>
      <c r="L23" s="31" t="s">
        <v>128</v>
      </c>
      <c r="M23" s="31" t="s">
        <v>129</v>
      </c>
      <c r="N23" s="31" t="s">
        <v>157</v>
      </c>
    </row>
    <row r="24" spans="1:14">
      <c r="A24" s="95"/>
      <c r="B24" s="32">
        <v>300</v>
      </c>
      <c r="C24" s="13" t="s">
        <v>136</v>
      </c>
      <c r="D24" s="13" t="s">
        <v>21</v>
      </c>
      <c r="E24" s="13" t="s">
        <v>21</v>
      </c>
      <c r="F24" s="13" t="s">
        <v>21</v>
      </c>
      <c r="G24" s="13" t="s">
        <v>21</v>
      </c>
      <c r="H24" s="13" t="s">
        <v>21</v>
      </c>
      <c r="I24" s="13" t="s">
        <v>21</v>
      </c>
      <c r="J24" s="13" t="s">
        <v>21</v>
      </c>
      <c r="K24" s="31" t="s">
        <v>126</v>
      </c>
      <c r="L24" s="31" t="s">
        <v>130</v>
      </c>
      <c r="M24" s="31" t="s">
        <v>127</v>
      </c>
      <c r="N24" s="31" t="s">
        <v>157</v>
      </c>
    </row>
    <row r="25" spans="1:14">
      <c r="A25" s="95"/>
      <c r="B25" s="32">
        <v>301</v>
      </c>
      <c r="C25" s="13" t="s">
        <v>137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31" t="s">
        <v>126</v>
      </c>
      <c r="L25" s="31" t="s">
        <v>130</v>
      </c>
      <c r="M25" s="31" t="s">
        <v>128</v>
      </c>
      <c r="N25" s="31" t="s">
        <v>157</v>
      </c>
    </row>
  </sheetData>
  <mergeCells count="2">
    <mergeCell ref="A3:A13"/>
    <mergeCell ref="A15:A25"/>
  </mergeCells>
  <phoneticPr fontId="5" type="noConversion"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zoomScaleNormal="100" workbookViewId="0">
      <selection activeCell="B15" sqref="B15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7.1796875" customWidth="1"/>
    <col min="5" max="6" width="24.81640625" customWidth="1"/>
    <col min="7" max="7" width="23.54296875" bestFit="1" customWidth="1"/>
    <col min="8" max="8" width="23.54296875" style="7" bestFit="1" customWidth="1"/>
    <col min="9" max="9" width="11.453125" style="7" bestFit="1" customWidth="1"/>
    <col min="10" max="10" width="17.54296875" customWidth="1"/>
    <col min="11" max="14" width="9.453125" bestFit="1" customWidth="1"/>
  </cols>
  <sheetData>
    <row r="1" spans="1:9">
      <c r="B1" s="4" t="s">
        <v>6</v>
      </c>
    </row>
    <row r="2" spans="1:9" ht="15" thickBot="1">
      <c r="B2" s="96" t="s">
        <v>12</v>
      </c>
      <c r="C2" s="96"/>
      <c r="D2" s="96"/>
      <c r="E2" s="96"/>
      <c r="F2" s="96"/>
      <c r="G2" s="96"/>
      <c r="H2" s="96"/>
    </row>
    <row r="3" spans="1:9" ht="29.5" thickBot="1">
      <c r="A3" s="22" t="s">
        <v>5</v>
      </c>
      <c r="B3" s="11" t="s">
        <v>8</v>
      </c>
      <c r="C3" s="23" t="s">
        <v>9</v>
      </c>
      <c r="D3" s="24" t="s">
        <v>10</v>
      </c>
      <c r="E3" s="12" t="s">
        <v>11</v>
      </c>
      <c r="F3" s="25" t="s">
        <v>34</v>
      </c>
      <c r="G3" s="25" t="s">
        <v>7</v>
      </c>
      <c r="H3" s="8"/>
      <c r="I3" s="8"/>
    </row>
    <row r="4" spans="1:9" ht="15" thickBot="1">
      <c r="A4" s="97" t="s">
        <v>105</v>
      </c>
      <c r="B4" s="28" t="s">
        <v>160</v>
      </c>
      <c r="C4" s="28" t="s">
        <v>161</v>
      </c>
      <c r="D4" s="28" t="s">
        <v>21</v>
      </c>
      <c r="E4" s="28" t="s">
        <v>21</v>
      </c>
      <c r="F4" s="30" t="s">
        <v>21</v>
      </c>
      <c r="G4" s="26"/>
      <c r="H4"/>
      <c r="I4"/>
    </row>
    <row r="5" spans="1:9" ht="15" customHeight="1" thickBot="1">
      <c r="A5" s="97"/>
      <c r="B5" s="28" t="s">
        <v>21</v>
      </c>
      <c r="C5" s="28" t="s">
        <v>21</v>
      </c>
      <c r="D5" s="28" t="s">
        <v>21</v>
      </c>
      <c r="E5" s="28" t="s">
        <v>21</v>
      </c>
      <c r="F5" s="30" t="s">
        <v>21</v>
      </c>
      <c r="G5" s="26"/>
      <c r="H5"/>
      <c r="I5"/>
    </row>
    <row r="7" spans="1:9" ht="15" thickBot="1"/>
    <row r="8" spans="1:9" ht="15" thickBot="1">
      <c r="A8" s="97" t="s">
        <v>106</v>
      </c>
      <c r="B8" s="28" t="s">
        <v>160</v>
      </c>
      <c r="C8" s="28" t="s">
        <v>161</v>
      </c>
      <c r="D8" s="28" t="s">
        <v>21</v>
      </c>
      <c r="E8" s="28" t="s">
        <v>21</v>
      </c>
      <c r="F8" s="30" t="s">
        <v>21</v>
      </c>
      <c r="G8" s="26"/>
      <c r="H8"/>
      <c r="I8"/>
    </row>
    <row r="9" spans="1:9" ht="15" customHeight="1" thickBot="1">
      <c r="A9" s="97"/>
      <c r="B9" s="28" t="s">
        <v>21</v>
      </c>
      <c r="C9" s="28" t="s">
        <v>21</v>
      </c>
      <c r="D9" s="28" t="s">
        <v>21</v>
      </c>
      <c r="E9" s="28" t="s">
        <v>21</v>
      </c>
      <c r="F9" s="30" t="s">
        <v>21</v>
      </c>
      <c r="G9" s="26"/>
      <c r="H9"/>
      <c r="I9"/>
    </row>
  </sheetData>
  <mergeCells count="3">
    <mergeCell ref="B2:H2"/>
    <mergeCell ref="A4:A5"/>
    <mergeCell ref="A8:A9"/>
  </mergeCells>
  <phoneticPr fontId="5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AD7540-7575-47FE-89C3-0B70527A7641}">
  <ds:schemaRefs>
    <ds:schemaRef ds:uri="28936da8-d410-42e4-8c6a-6cdbdad3a796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8a6860bd-04fc-4ac5-ba93-eea3c8146794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EB90D48-6316-428A-B864-D6EDAFE76A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CD832E-B8C1-4621-8107-0D35298D51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 Physical Device List</vt:lpstr>
      <vt:lpstr>Virtual Device List</vt:lpstr>
      <vt:lpstr>Logical Topology</vt:lpstr>
      <vt:lpstr>Port layout  </vt:lpstr>
      <vt:lpstr>VLAN Mapping and Networks</vt:lpstr>
      <vt:lpstr>VRF_Planning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Eldeen Alsaeed (A)</dc:creator>
  <cp:lastModifiedBy>Ibrahim Malik Eltayb Ibrahim</cp:lastModifiedBy>
  <cp:lastPrinted>2023-12-19T10:38:06Z</cp:lastPrinted>
  <dcterms:created xsi:type="dcterms:W3CDTF">2015-06-05T18:17:20Z</dcterms:created>
  <dcterms:modified xsi:type="dcterms:W3CDTF">2026-05-19T11:29:28Z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(3)7aYuH1IM+r6ik4fL99jz1b0vJT8bFmr9//0SenHEizqGO9owa/gqu33IX4Xjb3RJ23HRGlfE
R6mEclenq5DnHWgT3ePOmzhhxyoOFbqgp7uOEV7t4rj2FmRZsMvc/EKTrnK6APm4awijuU0S
3lDrw/1xnMB0q4SKSIvRHxF8N6TcPi0rcU51DpY6/mIqy8IG1/s1OmPg06BUVN+eNWlqdjPe
gktDAlWjol4P8JT3vI</vt:lpwstr>
  </property>
  <property fmtid="{D5CDD505-2E9C-101B-9397-08002B2CF9AE}" pid="3" name="_2015_ms_pID_7253431">
    <vt:lpwstr>8cd/GSpwp1MUxVMCwp9u8b5U+lEKQPXlQ2uKuo2reDdsxmLJV1tKnB
sI8uF8/3UaHlcbPOFv1GFZ1TTUMo/xmfHkSmWVSprZv/h3Yn5Ll1HMTQXf3mpYTc2sqATzay
rO/wBtblVnngyg4BAfnR5h8W5yHcAGn8V4T9gLNDCoiDPrO484U0yK7pHhuAQOeeG8UsAuQv
HfF1ALaRtV/C60hze/7cxZlFyx7h+KOi0LEC</vt:lpwstr>
  </property>
  <property fmtid="{D5CDD505-2E9C-101B-9397-08002B2CF9AE}" pid="4" name="_2015_ms_pID_7253432">
    <vt:lpwstr>QA==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</Properties>
</file>