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MPBN VLAN\"/>
    </mc:Choice>
  </mc:AlternateContent>
  <xr:revisionPtr revIDLastSave="0" documentId="13_ncr:1_{38B8B7CD-2865-4CB9-86D4-95A138A09556}" xr6:coauthVersionLast="47" xr6:coauthVersionMax="47" xr10:uidLastSave="{00000000-0000-0000-0000-000000000000}"/>
  <bookViews>
    <workbookView xWindow="-110" yWindow="-110" windowWidth="19420" windowHeight="11500" tabRatio="890" firstSheet="1" activeTab="6" xr2:uid="{00000000-000D-0000-FFFF-FFFF00000000}"/>
  </bookViews>
  <sheets>
    <sheet name="Cover" sheetId="40" r:id="rId1"/>
    <sheet name="Revision" sheetId="48" r:id="rId2"/>
    <sheet name="Device List" sheetId="1" r:id="rId3"/>
    <sheet name="Vlan" sheetId="34" r:id="rId4"/>
    <sheet name="Logical Topology" sheetId="5" r:id="rId5"/>
    <sheet name="Port layout  " sheetId="6" r:id="rId6"/>
    <sheet name="IP_Interconnection" sheetId="12" r:id="rId7"/>
    <sheet name="VRF_Planning" sheetId="33" r:id="rId8"/>
  </sheets>
  <definedNames>
    <definedName name="_xlnm._FilterDatabase" localSheetId="6" hidden="1">IP_Interconnection!$B$1:$I$2</definedName>
    <definedName name="_xlnm._FilterDatabase" localSheetId="7" hidden="1">VRF_Planning!$B$1:$H$13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<sst xmlns="http://schemas.openxmlformats.org/spreadsheetml/2006/main" count="303" uniqueCount="157">
  <si>
    <t>Site</t>
  </si>
  <si>
    <t>Role</t>
    <phoneticPr fontId="0" type="noConversion"/>
  </si>
  <si>
    <t>Device Type</t>
  </si>
  <si>
    <t>Number</t>
  </si>
  <si>
    <t>01</t>
  </si>
  <si>
    <t>02</t>
  </si>
  <si>
    <t>Source Port</t>
    <phoneticPr fontId="0" type="noConversion"/>
  </si>
  <si>
    <t>Logical interface</t>
  </si>
  <si>
    <t>Interface Description</t>
  </si>
  <si>
    <t>Device Name</t>
  </si>
  <si>
    <t>Return</t>
  </si>
  <si>
    <t>Network-ID/mask</t>
  </si>
  <si>
    <t xml:space="preserve">Source IP </t>
    <phoneticPr fontId="7" type="noConversion"/>
  </si>
  <si>
    <t>Remark</t>
  </si>
  <si>
    <t>Source Interface</t>
  </si>
  <si>
    <t>VRF_name</t>
  </si>
  <si>
    <t>Route-traget import</t>
  </si>
  <si>
    <t>Route-traget export</t>
  </si>
  <si>
    <t>VRRP ID</t>
  </si>
  <si>
    <t>Master/Slave</t>
  </si>
  <si>
    <t>IP address</t>
  </si>
  <si>
    <t>Virtual IP</t>
  </si>
  <si>
    <t>VRF</t>
    <phoneticPr fontId="2" type="noConversion"/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</si>
  <si>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</si>
  <si>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Link Type</t>
  </si>
  <si>
    <t>Link-type</t>
  </si>
  <si>
    <t>IP MTU Huawei</t>
  </si>
  <si>
    <t>VLAN Description</t>
  </si>
  <si>
    <t>Vlan ID</t>
  </si>
  <si>
    <t>N/A</t>
  </si>
  <si>
    <t xml:space="preserve"> Destination Device</t>
  </si>
  <si>
    <t xml:space="preserve">SFP type </t>
  </si>
  <si>
    <t>Vlanif id</t>
  </si>
  <si>
    <t>Eth-Trunk mode</t>
  </si>
  <si>
    <t>L2 / L3 Eth-Trunk</t>
  </si>
  <si>
    <t>Destination interface</t>
  </si>
  <si>
    <t xml:space="preserve">Destination IP </t>
  </si>
  <si>
    <t>Destination Interface</t>
  </si>
  <si>
    <t xml:space="preserve">Destination Device </t>
  </si>
  <si>
    <t>ipv4-family Configuration</t>
  </si>
  <si>
    <t xml:space="preserve">Installed Software </t>
  </si>
  <si>
    <t>Installed Patch</t>
  </si>
  <si>
    <t>SW Expiration Date</t>
  </si>
  <si>
    <t>HW Expiration Date</t>
  </si>
  <si>
    <t>Huawei Technologies</t>
  </si>
  <si>
    <t>VRRP Priority(default value=200)</t>
  </si>
  <si>
    <t>Interface 1</t>
  </si>
  <si>
    <t>Interface 3</t>
  </si>
  <si>
    <t>Interface 2</t>
  </si>
  <si>
    <t>Interface 4</t>
  </si>
  <si>
    <t>Interface 5</t>
  </si>
  <si>
    <t>Eth-Trunk0</t>
  </si>
  <si>
    <t xml:space="preserve">route-distinguisher </t>
  </si>
  <si>
    <t>L3</t>
  </si>
  <si>
    <t>FW</t>
  </si>
  <si>
    <t>lacp-static</t>
  </si>
  <si>
    <t>Fiber cable</t>
  </si>
  <si>
    <t>MultiMode(10G)</t>
  </si>
  <si>
    <t>ether-channel</t>
  </si>
  <si>
    <t>Firewall-zone</t>
  </si>
  <si>
    <t>OM</t>
  </si>
  <si>
    <t>dmz</t>
  </si>
  <si>
    <t>V600R023C00SPC100</t>
  </si>
  <si>
    <t>GP</t>
  </si>
  <si>
    <t xml:space="preserve">Signaling </t>
  </si>
  <si>
    <t>Eth-Trunk40</t>
  </si>
  <si>
    <t>GMSC_Media_vpn</t>
  </si>
  <si>
    <t>L2</t>
  </si>
  <si>
    <t>Eth-Trunk20.105</t>
  </si>
  <si>
    <t>GMSC_Signaling_vpn</t>
  </si>
  <si>
    <t xml:space="preserve">GP                 </t>
  </si>
  <si>
    <t>KTN</t>
  </si>
  <si>
    <t>KTN_ROAM_FW01</t>
  </si>
  <si>
    <t>KTN_ROAM_FW02</t>
  </si>
  <si>
    <t>Eudemon1000E-F55</t>
  </si>
  <si>
    <t>V600R023SPH120</t>
  </si>
  <si>
    <t xml:space="preserve">10GE0/0/6
</t>
  </si>
  <si>
    <t xml:space="preserve">TO KTN_ROAM_FW02 </t>
  </si>
  <si>
    <t>10GE0/0/7
10GE0/0/8
10GE0/0/9</t>
  </si>
  <si>
    <t>TO KTN_CE-SW01</t>
  </si>
  <si>
    <t>KTN-CE-SW01</t>
  </si>
  <si>
    <t>10GE7/0/2
10GE7/0/3
10GE7/0/4</t>
  </si>
  <si>
    <t>TO KTN_ROAM_FW01</t>
  </si>
  <si>
    <t>TO KTN_CE-SW02</t>
  </si>
  <si>
    <t>KTN-CE-SW02</t>
  </si>
  <si>
    <t>Eth-Trunk40.150</t>
  </si>
  <si>
    <t>10.0.39.72/29</t>
  </si>
  <si>
    <t>10.0.39.73</t>
  </si>
  <si>
    <t>10.0.39.100/30</t>
  </si>
  <si>
    <t>10.0.39.101</t>
  </si>
  <si>
    <t xml:space="preserve">KTN-Roam-FW-02 </t>
  </si>
  <si>
    <t>10.0.39.102</t>
  </si>
  <si>
    <t>Eth-Trunk30.150</t>
  </si>
  <si>
    <t>10.0.39.74</t>
  </si>
  <si>
    <t>KTN-Roam-FW-01</t>
  </si>
  <si>
    <t>Eth-Trunk40.101</t>
  </si>
  <si>
    <t xml:space="preserve">10.0.39.89 </t>
  </si>
  <si>
    <t>Eth-Trunk40.102</t>
  </si>
  <si>
    <t xml:space="preserve">Media </t>
  </si>
  <si>
    <t xml:space="preserve">10.0.39.105 </t>
  </si>
  <si>
    <t>Eth-Trunk40.103</t>
  </si>
  <si>
    <t xml:space="preserve">GP </t>
  </si>
  <si>
    <t xml:space="preserve">10.0.39.113 </t>
  </si>
  <si>
    <t>Eth-Trunk40.104</t>
  </si>
  <si>
    <t xml:space="preserve">Internet </t>
  </si>
  <si>
    <t xml:space="preserve">10.0.39.81 </t>
  </si>
  <si>
    <t>Eth-Trunk40.105</t>
  </si>
  <si>
    <t xml:space="preserve">10.0.39.57 </t>
  </si>
  <si>
    <t xml:space="preserve">10.0.39.73 </t>
  </si>
  <si>
    <t>Dot1Q 
Number</t>
  </si>
  <si>
    <t>10.0.39.97:150</t>
  </si>
  <si>
    <t>1.29598:42</t>
  </si>
  <si>
    <t>KTN-NE8000-01</t>
  </si>
  <si>
    <t>KTN-NE8000-02</t>
  </si>
  <si>
    <t>10.0.39.115</t>
  </si>
  <si>
    <t>Eth-Trunk30.103</t>
  </si>
  <si>
    <t>10.0.39.114</t>
  </si>
  <si>
    <t>10.0.39.116</t>
  </si>
  <si>
    <t>Eth-Trunk30.102</t>
  </si>
  <si>
    <t>10.0.39.106</t>
  </si>
  <si>
    <t>10.0.39.107</t>
  </si>
  <si>
    <t>10.0.39.108</t>
  </si>
  <si>
    <t>KTN-IGW01</t>
  </si>
  <si>
    <t>Eth-Trunk20.104</t>
  </si>
  <si>
    <t>10.0.39.82</t>
  </si>
  <si>
    <t>10.0.39.83</t>
  </si>
  <si>
    <t>10.0.39.84</t>
  </si>
  <si>
    <t>KTN-IGW02</t>
  </si>
  <si>
    <t>10.0.39.58</t>
  </si>
  <si>
    <t>10.0.39.59</t>
  </si>
  <si>
    <t>10.0.39.60</t>
  </si>
  <si>
    <t>Eth-Trunk30.101</t>
  </si>
  <si>
    <t>10.0.39.90</t>
  </si>
  <si>
    <t>10.0.39.91</t>
  </si>
  <si>
    <t>10.0.39.92</t>
  </si>
  <si>
    <t>10.0.39.56/29</t>
  </si>
  <si>
    <t>10.0.39.88/29</t>
  </si>
  <si>
    <t>10.0.39.104/29</t>
  </si>
  <si>
    <t>10.0.39.112/29</t>
  </si>
  <si>
    <t>10.0.39.80/29</t>
  </si>
  <si>
    <t>date and title</t>
  </si>
  <si>
    <t>Document Control</t>
  </si>
  <si>
    <t>Change Date</t>
  </si>
  <si>
    <t>Responsible</t>
  </si>
  <si>
    <t>Change Description</t>
  </si>
  <si>
    <t>Revision Q/yr</t>
  </si>
  <si>
    <t xml:space="preserve">Interface/Service Description </t>
  </si>
  <si>
    <t>_management_vpn_</t>
  </si>
  <si>
    <t>ipv4-family</t>
  </si>
  <si>
    <t>interconnection</t>
  </si>
  <si>
    <t>for-GRX</t>
  </si>
  <si>
    <t>for-SS7-DSC-International</t>
  </si>
  <si>
    <t>Management</t>
  </si>
  <si>
    <t>KTN Roaming FW LLD</t>
  </si>
  <si>
    <t>MARCH 2026</t>
  </si>
  <si>
    <t>LLD V4</t>
  </si>
  <si>
    <t xml:space="preserve">KTN DC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</si>
</sst>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3F3F3F"/>
      <name val="Calibri"/>
      <family val="2"/>
      <scheme val="minor"/>
    </font>
    <font>
      <sz val="11"/>
      <color rgb="FF1F1F1F"/>
      <name val="Arial"/>
      <family val="2"/>
    </font>
    <font>
      <sz val="11"/>
      <color rgb="FF1F1F1F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50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ck">
        <color theme="1" tint="0.499984740745262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theme="1" tint="0.34998626667073579"/>
      </right>
      <top/>
      <bottom/>
      <diagonal/>
    </border>
    <border>
      <left style="thick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ck">
        <color theme="1" tint="0.499984740745262"/>
      </right>
      <top style="thin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</borders>
  <cellStyleXfs count="11">
    <xf numFmtId="0" fontId="0" fillId="0" borderId="0"/>
    <xf numFmtId="0" fontId="3" fillId="0" borderId="0">
      <alignment vertical="center"/>
    </xf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0" fillId="0" borderId="0"/>
    <xf numFmtId="0" fontId="4" fillId="0" borderId="0"/>
    <xf numFmtId="0" fontId="4" fillId="0" borderId="0"/>
    <xf numFmtId="0" fontId="17" fillId="5" borderId="0" applyNumberFormat="0" applyBorder="0" applyAlignment="0" applyProtection="0"/>
    <xf numFmtId="0" fontId="19" fillId="0" borderId="0" applyNumberFormat="0" applyFill="0" applyBorder="0" applyAlignment="0" applyProtection="0"/>
    <xf numFmtId="0" fontId="23" fillId="4" borderId="28" applyNumberFormat="0" applyAlignment="0" applyProtection="0"/>
  </cellStyleXfs>
  <cellXfs count="132">
    <xf numFmtId="0" fontId="0" fillId="0" borderId="0" xfId="0"/>
    <xf numFmtId="49" fontId="0" fillId="0" borderId="0" xfId="0" applyNumberFormat="1"/>
    <xf numFmtId="0" fontId="0" fillId="2" borderId="2" xfId="0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5" fillId="0" borderId="0" xfId="3"/>
    <xf numFmtId="0" fontId="5" fillId="2" borderId="0" xfId="3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10" xfId="3" applyBorder="1"/>
    <xf numFmtId="0" fontId="0" fillId="0" borderId="10" xfId="0" applyBorder="1"/>
    <xf numFmtId="49" fontId="0" fillId="0" borderId="10" xfId="0" applyNumberFormat="1" applyBorder="1"/>
    <xf numFmtId="0" fontId="8" fillId="3" borderId="2" xfId="0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6" fillId="2" borderId="6" xfId="0" applyFont="1" applyFill="1" applyBorder="1" applyAlignment="1">
      <alignment horizontal="center" vertical="center"/>
    </xf>
    <xf numFmtId="0" fontId="13" fillId="3" borderId="18" xfId="0" applyFont="1" applyFill="1" applyBorder="1"/>
    <xf numFmtId="0" fontId="0" fillId="2" borderId="1" xfId="0" applyFill="1" applyBorder="1" applyAlignment="1">
      <alignment vertical="center"/>
    </xf>
    <xf numFmtId="0" fontId="16" fillId="2" borderId="9" xfId="0" applyFont="1" applyFill="1" applyBorder="1" applyAlignment="1">
      <alignment horizontal="center" vertical="center"/>
    </xf>
    <xf numFmtId="0" fontId="0" fillId="2" borderId="19" xfId="0" applyFill="1" applyBorder="1" applyAlignment="1">
      <alignment vertical="center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/>
    </xf>
    <xf numFmtId="0" fontId="16" fillId="2" borderId="25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/>
    </xf>
    <xf numFmtId="0" fontId="23" fillId="4" borderId="28" xfId="10" applyAlignment="1">
      <alignment horizontal="center" vertical="center"/>
    </xf>
    <xf numFmtId="0" fontId="23" fillId="4" borderId="28" xfId="10" applyAlignment="1">
      <alignment vertical="center"/>
    </xf>
    <xf numFmtId="14" fontId="23" fillId="4" borderId="28" xfId="10" applyNumberFormat="1" applyAlignment="1">
      <alignment horizontal="center" vertical="center"/>
    </xf>
    <xf numFmtId="0" fontId="23" fillId="4" borderId="28" xfId="10" applyAlignment="1">
      <alignment horizontal="left" vertical="center"/>
    </xf>
    <xf numFmtId="0" fontId="23" fillId="4" borderId="28" xfId="10"/>
    <xf numFmtId="0" fontId="23" fillId="4" borderId="28" xfId="10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vertical="center" wrapText="1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/>
    </xf>
    <xf numFmtId="0" fontId="5" fillId="0" borderId="0" xfId="3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4" fillId="3" borderId="5" xfId="3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4" fillId="0" borderId="0" xfId="0" applyFont="1" applyAlignment="1">
      <alignment horizontal="left" wrapText="1" readingOrder="1"/>
    </xf>
    <xf numFmtId="0" fontId="14" fillId="3" borderId="5" xfId="3" applyFont="1" applyFill="1" applyBorder="1" applyAlignment="1">
      <alignment horizontal="left"/>
    </xf>
    <xf numFmtId="0" fontId="14" fillId="3" borderId="7" xfId="3" applyFont="1" applyFill="1" applyBorder="1" applyAlignment="1">
      <alignment horizontal="left"/>
    </xf>
    <xf numFmtId="0" fontId="14" fillId="3" borderId="7" xfId="3" applyFont="1" applyFill="1" applyBorder="1" applyAlignment="1">
      <alignment horizontal="left" wrapText="1"/>
    </xf>
    <xf numFmtId="0" fontId="0" fillId="0" borderId="9" xfId="8" applyFont="1" applyFill="1" applyBorder="1" applyAlignment="1">
      <alignment horizontal="left"/>
    </xf>
    <xf numFmtId="0" fontId="18" fillId="0" borderId="9" xfId="8" applyFont="1" applyFill="1" applyBorder="1" applyAlignment="1">
      <alignment horizontal="left"/>
    </xf>
    <xf numFmtId="0" fontId="24" fillId="0" borderId="0" xfId="0" applyFont="1" applyAlignment="1">
      <alignment horizontal="center" vertical="center" wrapText="1" readingOrder="1"/>
    </xf>
    <xf numFmtId="0" fontId="16" fillId="0" borderId="9" xfId="8" applyFont="1" applyFill="1" applyBorder="1" applyAlignment="1">
      <alignment horizontal="left"/>
    </xf>
    <xf numFmtId="0" fontId="0" fillId="0" borderId="24" xfId="8" applyFont="1" applyFill="1" applyBorder="1" applyAlignment="1">
      <alignment horizontal="left"/>
    </xf>
    <xf numFmtId="0" fontId="16" fillId="0" borderId="24" xfId="8" applyFont="1" applyFill="1" applyBorder="1" applyAlignment="1">
      <alignment horizontal="left"/>
    </xf>
    <xf numFmtId="0" fontId="25" fillId="0" borderId="9" xfId="0" applyFont="1" applyBorder="1" applyAlignment="1">
      <alignment horizontal="left" wrapText="1" readingOrder="1"/>
    </xf>
    <xf numFmtId="0" fontId="18" fillId="0" borderId="9" xfId="0" applyFont="1" applyBorder="1" applyAlignment="1">
      <alignment horizontal="left"/>
    </xf>
    <xf numFmtId="0" fontId="18" fillId="0" borderId="40" xfId="0" applyFont="1" applyBorder="1" applyAlignment="1">
      <alignment horizontal="left"/>
    </xf>
    <xf numFmtId="0" fontId="25" fillId="0" borderId="24" xfId="0" applyFont="1" applyBorder="1" applyAlignment="1">
      <alignment horizontal="left" wrapText="1" readingOrder="1"/>
    </xf>
    <xf numFmtId="0" fontId="18" fillId="0" borderId="24" xfId="8" applyFont="1" applyFill="1" applyBorder="1" applyAlignment="1">
      <alignment horizontal="left"/>
    </xf>
    <xf numFmtId="0" fontId="18" fillId="0" borderId="24" xfId="0" applyFont="1" applyBorder="1" applyAlignment="1">
      <alignment horizontal="left"/>
    </xf>
    <xf numFmtId="0" fontId="18" fillId="0" borderId="41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16" fillId="7" borderId="14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/>
    </xf>
    <xf numFmtId="0" fontId="16" fillId="7" borderId="24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22" fillId="7" borderId="9" xfId="0" applyFont="1" applyFill="1" applyBorder="1"/>
    <xf numFmtId="0" fontId="22" fillId="7" borderId="9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0" fontId="16" fillId="7" borderId="26" xfId="0" applyFont="1" applyFill="1" applyBorder="1" applyAlignment="1">
      <alignment horizontal="center"/>
    </xf>
    <xf numFmtId="0" fontId="0" fillId="7" borderId="0" xfId="0" applyFill="1"/>
    <xf numFmtId="0" fontId="15" fillId="7" borderId="11" xfId="7" applyFont="1" applyFill="1" applyBorder="1" applyAlignment="1">
      <alignment horizontal="center" vertical="center"/>
    </xf>
    <xf numFmtId="0" fontId="15" fillId="7" borderId="7" xfId="7" applyFont="1" applyFill="1" applyBorder="1" applyAlignment="1">
      <alignment horizontal="center" vertical="center"/>
    </xf>
    <xf numFmtId="0" fontId="15" fillId="7" borderId="17" xfId="7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23" fillId="0" borderId="28" xfId="10" applyFill="1" applyAlignment="1">
      <alignment horizontal="center" vertical="center"/>
    </xf>
    <xf numFmtId="0" fontId="23" fillId="0" borderId="28" xfId="10" applyFill="1" applyAlignment="1">
      <alignment horizontal="center" vertical="center" wrapText="1"/>
    </xf>
    <xf numFmtId="0" fontId="0" fillId="0" borderId="9" xfId="8" applyFont="1" applyFill="1" applyBorder="1" applyAlignment="1"/>
    <xf numFmtId="0" fontId="16" fillId="0" borderId="9" xfId="8" applyFont="1" applyFill="1" applyBorder="1" applyAlignment="1"/>
    <xf numFmtId="0" fontId="25" fillId="0" borderId="9" xfId="0" applyFont="1" applyBorder="1" applyAlignment="1">
      <alignment wrapText="1" readingOrder="1"/>
    </xf>
    <xf numFmtId="0" fontId="16" fillId="0" borderId="9" xfId="8" applyFont="1" applyFill="1" applyBorder="1" applyAlignment="1">
      <alignment vertical="center"/>
    </xf>
    <xf numFmtId="0" fontId="26" fillId="0" borderId="0" xfId="0" applyFont="1"/>
    <xf numFmtId="0" fontId="8" fillId="3" borderId="49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16" fillId="0" borderId="9" xfId="8" applyFont="1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49" fontId="20" fillId="2" borderId="0" xfId="0" applyNumberFormat="1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8" fillId="3" borderId="46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/>
    </xf>
    <xf numFmtId="0" fontId="14" fillId="3" borderId="8" xfId="3" applyFont="1" applyFill="1" applyBorder="1" applyAlignment="1">
      <alignment horizontal="center" vertical="center"/>
    </xf>
    <xf numFmtId="0" fontId="23" fillId="0" borderId="29" xfId="10" applyFill="1" applyBorder="1" applyAlignment="1">
      <alignment horizontal="center" vertical="center"/>
    </xf>
    <xf numFmtId="0" fontId="23" fillId="0" borderId="30" xfId="10" applyFill="1" applyBorder="1" applyAlignment="1">
      <alignment horizontal="center" vertical="center"/>
    </xf>
    <xf numFmtId="0" fontId="23" fillId="4" borderId="29" xfId="10" applyBorder="1" applyAlignment="1">
      <alignment horizontal="center" vertical="center"/>
    </xf>
    <xf numFmtId="0" fontId="23" fillId="4" borderId="30" xfId="10" applyBorder="1" applyAlignment="1">
      <alignment horizontal="center" vertical="center"/>
    </xf>
    <xf numFmtId="49" fontId="18" fillId="0" borderId="39" xfId="0" applyNumberFormat="1" applyFont="1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0" fontId="14" fillId="3" borderId="36" xfId="3" applyFont="1" applyFill="1" applyBorder="1" applyAlignment="1">
      <alignment horizontal="left"/>
    </xf>
    <xf numFmtId="0" fontId="14" fillId="3" borderId="37" xfId="3" applyFont="1" applyFill="1" applyBorder="1" applyAlignment="1">
      <alignment horizontal="left"/>
    </xf>
    <xf numFmtId="0" fontId="14" fillId="3" borderId="38" xfId="3" applyFont="1" applyFill="1" applyBorder="1" applyAlignment="1">
      <alignment horizontal="left"/>
    </xf>
    <xf numFmtId="0" fontId="14" fillId="3" borderId="5" xfId="3" applyFont="1" applyFill="1" applyBorder="1" applyAlignment="1">
      <alignment horizontal="left"/>
    </xf>
    <xf numFmtId="0" fontId="14" fillId="3" borderId="17" xfId="3" applyFont="1" applyFill="1" applyBorder="1" applyAlignment="1">
      <alignment horizontal="left"/>
    </xf>
    <xf numFmtId="0" fontId="14" fillId="3" borderId="0" xfId="3" applyFont="1" applyFill="1" applyBorder="1" applyAlignment="1">
      <alignment horizontal="left"/>
    </xf>
    <xf numFmtId="0" fontId="14" fillId="3" borderId="16" xfId="3" applyFont="1" applyFill="1" applyBorder="1" applyAlignment="1">
      <alignment horizontal="left"/>
    </xf>
    <xf numFmtId="0" fontId="14" fillId="3" borderId="7" xfId="3" applyFont="1" applyFill="1" applyBorder="1" applyAlignment="1">
      <alignment horizontal="left"/>
    </xf>
    <xf numFmtId="0" fontId="0" fillId="0" borderId="3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45" xfId="0" applyFill="1" applyBorder="1" applyAlignment="1">
      <alignment horizontal="center" vertical="center"/>
    </xf>
  </cellXfs>
  <cellStyles count="11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Output" xfId="10" builtinId="21"/>
    <cellStyle name="常规 11 3" xfId="9" xr:uid="{139FB69B-5D8E-4313-923D-B95ECCE4037A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15595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1291" y="400255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1002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69850</xdr:colOff>
          <xdr:row>13</xdr:row>
          <xdr:rowOff>82550</xdr:rowOff>
        </xdr:from>
        <xdr:to>
          <xdr:col>37</xdr:col>
          <xdr:colOff>177800</xdr:colOff>
          <xdr:row>61</xdr:row>
          <xdr:rowOff>6350</xdr:rowOff>
        </xdr:to>
        <xdr:sp macro="" textlink="">
          <xdr:nvSpPr>
            <xdr:cNvPr id="40966" name="Object 6" hidden="1">
              <a:extLst>
                <a:ext uri="{63B3BB69-23CF-44E3-9099-C40C66FF867C}">
                  <a14:compatExt spid="_x0000_s40966"/>
                </a:ext>
                <a:ext uri="{FF2B5EF4-FFF2-40B4-BE49-F238E27FC236}">
                  <a16:creationId xmlns:a16="http://schemas.microsoft.com/office/drawing/2014/main" id="{00000000-0008-0000-0600-000006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O10" headerRowDxfId="33" dataDxfId="31" headerRowBorderDxfId="32" tableBorderDxfId="30" headerRowCellStyle="0,0_x000d__x000a_NA_x000d__x000a__Detailed Desigh Configuration Al-MadarPA6_PA7 2">
  <tableColumns count="14">
    <tableColumn id="1" xr3:uid="{600B0BD2-5F0C-4C29-80BD-0148BBFDE377}" name="Vlan ID" totalsRowLabel="Total" dataDxfId="29" totalsRowDxfId="28"/>
    <tableColumn id="2" xr3:uid="{129C211F-FFAA-40FB-A4C2-7D08C91122EF}" name="VLAN Description" dataDxfId="27" totalsRowDxfId="26"/>
    <tableColumn id="8" xr3:uid="{C2FC822F-E2CA-4CBF-937B-7A82A802A93A}" name="Vlanif id" dataDxfId="25" totalsRowDxfId="24"/>
    <tableColumn id="3" xr3:uid="{47D9ECE2-A3B8-4437-A535-AF94BF2F8E84}" name="VRRP ID" dataDxfId="23" totalsRowDxfId="22"/>
    <tableColumn id="9" xr3:uid="{CD7ACC4B-D744-4831-AA5F-F61E2C96E33B}" name="VRRP Priority(default value=200)" dataDxfId="21" totalsRowDxfId="20"/>
    <tableColumn id="4" xr3:uid="{BD09DF9E-5326-44B2-84C3-FDED243EE016}" name="Master/Slave" dataDxfId="19" totalsRowDxfId="18"/>
    <tableColumn id="5" xr3:uid="{B23A240C-4F75-4920-B183-861F49E150B8}" name="IP address" dataDxfId="17" totalsRowDxfId="16"/>
    <tableColumn id="6" xr3:uid="{D3AB32B4-2872-4167-B232-629874AADD7A}" name="Virtual IP" dataDxfId="15" totalsRowDxfId="14"/>
    <tableColumn id="7" xr3:uid="{16B130CD-A029-41C2-BCC4-CF0ADEC064FE}" name="VRF" totalsRowFunction="count" dataDxfId="13" totalsRowDxfId="12"/>
    <tableColumn id="10" xr3:uid="{6BF72800-03C1-404F-8AE0-30174FE63C75}" name="Interface 1" dataDxfId="11" totalsRowDxfId="10"/>
    <tableColumn id="11" xr3:uid="{764F5590-4FEC-4200-ABA2-9809D445EE19}" name="Interface 2" dataDxfId="9" totalsRowDxfId="8"/>
    <tableColumn id="12" xr3:uid="{F38C5E23-EEFF-4337-B988-36EE81F28832}" name="Interface 3" dataDxfId="7" totalsRowDxfId="6"/>
    <tableColumn id="13" xr3:uid="{49B8B73C-E830-4626-8CE5-1ED226D58FAF}" name="Interface 4" dataDxfId="5" totalsRowDxfId="4"/>
    <tableColumn id="14" xr3:uid="{575863AA-2219-4386-AABC-FF3C2491FB53}" name="Interface 5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34C-CDDB-4C47-A014-3DA29835C305}">
  <sheetPr>
    <tabColor rgb="FFFF0000"/>
  </sheetPr>
  <dimension ref="A1:I17"/>
  <sheetViews>
    <sheetView zoomScale="85" zoomScaleNormal="85" workbookViewId="0">
      <selection activeCell="M13" sqref="M13"/>
    </sheetView>
  </sheetViews>
  <sheetFormatPr defaultRowHeight="14.5"/>
  <cols>
    <col min="7" max="7" width="16.1796875" customWidth="1"/>
  </cols>
  <sheetData>
    <row r="1" spans="1:9">
      <c r="A1" s="94"/>
      <c r="B1" s="94"/>
      <c r="C1" s="94"/>
      <c r="D1" s="94"/>
      <c r="E1" s="94"/>
      <c r="F1" s="94"/>
      <c r="G1" s="94"/>
    </row>
    <row r="2" spans="1:9" ht="18.5">
      <c r="A2" s="94"/>
      <c r="B2" s="95" t="s">
        <v>156</v>
      </c>
      <c r="C2" s="95"/>
      <c r="D2" s="95"/>
      <c r="E2" s="95"/>
      <c r="F2" s="95"/>
      <c r="G2" s="94"/>
    </row>
    <row r="3" spans="1:9" ht="18.5">
      <c r="A3" s="94"/>
      <c r="B3" s="96"/>
      <c r="C3" s="96"/>
      <c r="D3" s="96"/>
      <c r="E3" s="96"/>
      <c r="F3" s="96"/>
      <c r="G3" s="94"/>
    </row>
    <row r="4" spans="1:9" ht="18.5">
      <c r="A4" s="94"/>
      <c r="B4" s="97" t="s">
        <v>153</v>
      </c>
      <c r="C4" s="97"/>
      <c r="D4" s="97"/>
      <c r="E4" s="97"/>
      <c r="F4" s="97"/>
      <c r="G4" s="94"/>
      <c r="I4" s="89" t="s">
        <v>140</v>
      </c>
    </row>
    <row r="5" spans="1:9" ht="18.5">
      <c r="A5" s="94"/>
      <c r="B5" s="96"/>
      <c r="C5" s="96"/>
      <c r="D5" s="96"/>
      <c r="E5" s="96"/>
      <c r="F5" s="96"/>
      <c r="G5" s="94"/>
    </row>
    <row r="6" spans="1:9" ht="18.5">
      <c r="A6" s="94"/>
      <c r="B6" s="97" t="s">
        <v>155</v>
      </c>
      <c r="C6" s="97"/>
      <c r="D6" s="97"/>
      <c r="E6" s="97"/>
      <c r="F6" s="97"/>
      <c r="G6" s="94"/>
    </row>
    <row r="7" spans="1:9" ht="18.5">
      <c r="A7" s="94"/>
      <c r="B7" s="96"/>
      <c r="C7" s="96"/>
      <c r="D7" s="96"/>
      <c r="E7" s="96"/>
      <c r="F7" s="96"/>
      <c r="G7" s="94"/>
    </row>
    <row r="8" spans="1:9" ht="18.5">
      <c r="A8" s="94"/>
      <c r="B8" s="98" t="s">
        <v>154</v>
      </c>
      <c r="C8" s="98"/>
      <c r="D8" s="98"/>
      <c r="E8" s="98"/>
      <c r="F8" s="98"/>
      <c r="G8" s="94"/>
    </row>
    <row r="9" spans="1:9" ht="18.5">
      <c r="A9" s="94"/>
      <c r="B9" s="96"/>
      <c r="C9" s="96"/>
      <c r="D9" s="96"/>
      <c r="E9" s="96"/>
      <c r="F9" s="96"/>
      <c r="G9" s="94"/>
    </row>
    <row r="10" spans="1:9" ht="18.5">
      <c r="A10" s="94"/>
      <c r="B10" s="97" t="s">
        <v>44</v>
      </c>
      <c r="C10" s="97"/>
      <c r="D10" s="97"/>
      <c r="E10" s="97"/>
      <c r="F10" s="97"/>
      <c r="G10" s="94"/>
    </row>
    <row r="11" spans="1:9" ht="18.5">
      <c r="A11" s="94"/>
      <c r="B11" s="99"/>
      <c r="C11" s="99"/>
      <c r="D11" s="99"/>
      <c r="E11" s="99"/>
      <c r="F11" s="99"/>
      <c r="G11" s="94"/>
    </row>
    <row r="12" spans="1:9">
      <c r="A12" s="5"/>
      <c r="B12" s="5"/>
      <c r="C12" s="5"/>
      <c r="D12" s="5"/>
      <c r="E12" s="5"/>
      <c r="F12" s="5"/>
      <c r="G12" s="5"/>
    </row>
    <row r="13" spans="1:9">
      <c r="A13" s="5"/>
      <c r="B13" s="5"/>
      <c r="C13" s="5"/>
      <c r="D13" s="5"/>
      <c r="E13" s="5"/>
      <c r="F13" s="5"/>
      <c r="G13" s="5"/>
    </row>
    <row r="14" spans="1:9">
      <c r="A14" s="5"/>
      <c r="B14" s="5"/>
      <c r="C14" s="5"/>
      <c r="D14" s="5"/>
      <c r="E14" s="5"/>
      <c r="F14" s="5"/>
      <c r="G14" s="5"/>
    </row>
    <row r="15" spans="1:9">
      <c r="A15" s="5"/>
      <c r="B15" s="5"/>
      <c r="C15" s="5"/>
      <c r="D15" s="5"/>
      <c r="E15" s="5"/>
      <c r="F15" s="5"/>
      <c r="G15" s="5"/>
    </row>
    <row r="16" spans="1:9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E5A9-A174-4030-816D-52300EEF1E40}">
  <dimension ref="A1:D4"/>
  <sheetViews>
    <sheetView workbookViewId="0">
      <selection activeCell="B22" sqref="B22"/>
    </sheetView>
  </sheetViews>
  <sheetFormatPr defaultRowHeight="14.5"/>
  <cols>
    <col min="2" max="2" width="15.453125" customWidth="1"/>
    <col min="3" max="3" width="27.1796875" bestFit="1" customWidth="1"/>
    <col min="4" max="4" width="62.81640625" bestFit="1" customWidth="1"/>
  </cols>
  <sheetData>
    <row r="1" spans="1:4" ht="14.5" customHeight="1">
      <c r="A1" s="100" t="s">
        <v>141</v>
      </c>
      <c r="B1" s="101"/>
      <c r="C1" s="101"/>
      <c r="D1" s="102"/>
    </row>
    <row r="2" spans="1:4">
      <c r="A2" s="90" t="s">
        <v>145</v>
      </c>
      <c r="B2" s="90" t="s">
        <v>142</v>
      </c>
      <c r="C2" s="90" t="s">
        <v>143</v>
      </c>
      <c r="D2" s="90" t="s">
        <v>144</v>
      </c>
    </row>
    <row r="3" spans="1:4">
      <c r="A3" s="103"/>
      <c r="B3" s="91"/>
      <c r="C3" s="49"/>
      <c r="D3" s="49"/>
    </row>
    <row r="4" spans="1:4">
      <c r="A4" s="104"/>
      <c r="B4" s="91"/>
      <c r="C4" s="49"/>
      <c r="D4" s="92"/>
    </row>
  </sheetData>
  <mergeCells count="2">
    <mergeCell ref="A1:D1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6"/>
  <sheetViews>
    <sheetView zoomScale="85" zoomScaleNormal="85" workbookViewId="0">
      <selection activeCell="L9" sqref="L9"/>
    </sheetView>
  </sheetViews>
  <sheetFormatPr defaultRowHeight="14.5"/>
  <cols>
    <col min="1" max="1" width="6.453125" bestFit="1" customWidth="1"/>
    <col min="2" max="2" width="19" bestFit="1" customWidth="1"/>
    <col min="3" max="3" width="5.453125" bestFit="1" customWidth="1"/>
    <col min="4" max="4" width="6.81640625" style="1" customWidth="1"/>
    <col min="5" max="5" width="17.453125" bestFit="1" customWidth="1"/>
    <col min="6" max="6" width="19.6328125" bestFit="1" customWidth="1"/>
    <col min="7" max="7" width="16.1796875" bestFit="1" customWidth="1"/>
    <col min="8" max="8" width="20.6328125" bestFit="1" customWidth="1"/>
    <col min="9" max="9" width="20.81640625" bestFit="1" customWidth="1"/>
  </cols>
  <sheetData>
    <row r="1" spans="1:9" ht="15" thickTop="1">
      <c r="A1" s="11" t="s">
        <v>10</v>
      </c>
      <c r="B1" s="12"/>
      <c r="C1" s="12"/>
      <c r="D1" s="13"/>
      <c r="E1" s="12"/>
      <c r="F1" s="12"/>
    </row>
    <row r="2" spans="1:9">
      <c r="A2" s="105" t="s">
        <v>23</v>
      </c>
      <c r="B2" s="105"/>
      <c r="C2" s="105"/>
      <c r="D2" s="105"/>
      <c r="E2" s="105"/>
      <c r="F2" s="105"/>
    </row>
    <row r="3" spans="1:9" ht="15" thickBot="1">
      <c r="A3" s="14" t="s">
        <v>0</v>
      </c>
      <c r="B3" s="14" t="s">
        <v>2</v>
      </c>
      <c r="C3" s="14" t="s">
        <v>1</v>
      </c>
      <c r="D3" s="15" t="s">
        <v>3</v>
      </c>
      <c r="E3" s="14" t="s">
        <v>9</v>
      </c>
      <c r="F3" s="25" t="s">
        <v>40</v>
      </c>
      <c r="G3" s="25" t="s">
        <v>41</v>
      </c>
      <c r="H3" s="25" t="s">
        <v>42</v>
      </c>
      <c r="I3" s="25" t="s">
        <v>43</v>
      </c>
    </row>
    <row r="4" spans="1:9" ht="15.5" thickTop="1" thickBot="1">
      <c r="A4" s="2" t="s">
        <v>71</v>
      </c>
      <c r="B4" s="2" t="s">
        <v>74</v>
      </c>
      <c r="C4" s="2" t="s">
        <v>54</v>
      </c>
      <c r="D4" s="3" t="s">
        <v>4</v>
      </c>
      <c r="E4" s="2" t="s">
        <v>72</v>
      </c>
      <c r="F4" s="20" t="s">
        <v>62</v>
      </c>
      <c r="G4" s="20" t="s">
        <v>75</v>
      </c>
      <c r="H4" s="26">
        <v>46568</v>
      </c>
      <c r="I4" s="26">
        <v>50770</v>
      </c>
    </row>
    <row r="5" spans="1:9" ht="15.5" thickTop="1" thickBot="1">
      <c r="A5" s="22" t="s">
        <v>71</v>
      </c>
      <c r="B5" s="2" t="s">
        <v>74</v>
      </c>
      <c r="C5" s="22" t="s">
        <v>54</v>
      </c>
      <c r="D5" s="3" t="s">
        <v>5</v>
      </c>
      <c r="E5" s="22" t="s">
        <v>73</v>
      </c>
      <c r="F5" s="20" t="s">
        <v>62</v>
      </c>
      <c r="G5" s="20" t="s">
        <v>75</v>
      </c>
      <c r="H5" s="26">
        <v>46568</v>
      </c>
      <c r="I5" s="26">
        <v>50770</v>
      </c>
    </row>
    <row r="6" spans="1:9" ht="15" thickTop="1"/>
  </sheetData>
  <mergeCells count="1">
    <mergeCell ref="A2:F2"/>
  </mergeCells>
  <phoneticPr fontId="7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zoomScale="73" zoomScaleNormal="50" workbookViewId="0">
      <selection activeCell="D17" sqref="D17"/>
    </sheetView>
  </sheetViews>
  <sheetFormatPr defaultRowHeight="14.5"/>
  <cols>
    <col min="1" max="1" width="15.81640625" bestFit="1" customWidth="1"/>
    <col min="2" max="2" width="10.08984375" customWidth="1"/>
    <col min="3" max="3" width="42.08984375" bestFit="1" customWidth="1"/>
    <col min="4" max="4" width="33.54296875" customWidth="1"/>
    <col min="5" max="5" width="11.81640625" customWidth="1"/>
    <col min="6" max="6" width="32.54296875" bestFit="1" customWidth="1"/>
    <col min="7" max="7" width="12.90625" customWidth="1"/>
    <col min="8" max="9" width="17.453125" bestFit="1" customWidth="1"/>
    <col min="10" max="10" width="17.54296875" customWidth="1"/>
    <col min="11" max="11" width="15.54296875" bestFit="1" customWidth="1"/>
    <col min="12" max="13" width="16.453125" bestFit="1" customWidth="1"/>
    <col min="14" max="15" width="21.54296875" bestFit="1" customWidth="1"/>
  </cols>
  <sheetData>
    <row r="1" spans="1:15" ht="15" thickBot="1">
      <c r="A1" s="77"/>
      <c r="B1" s="78" t="s">
        <v>28</v>
      </c>
      <c r="C1" s="78" t="s">
        <v>27</v>
      </c>
      <c r="D1" s="78" t="s">
        <v>32</v>
      </c>
      <c r="E1" s="78" t="s">
        <v>18</v>
      </c>
      <c r="F1" s="78" t="s">
        <v>45</v>
      </c>
      <c r="G1" s="78" t="s">
        <v>19</v>
      </c>
      <c r="H1" s="78" t="s">
        <v>20</v>
      </c>
      <c r="I1" s="78" t="s">
        <v>21</v>
      </c>
      <c r="J1" s="78" t="s">
        <v>22</v>
      </c>
      <c r="K1" s="79" t="s">
        <v>46</v>
      </c>
      <c r="L1" s="79" t="s">
        <v>48</v>
      </c>
      <c r="M1" s="79" t="s">
        <v>47</v>
      </c>
      <c r="N1" s="79" t="s">
        <v>49</v>
      </c>
      <c r="O1" s="80" t="s">
        <v>50</v>
      </c>
    </row>
    <row r="2" spans="1:15" ht="15" customHeight="1" thickTop="1">
      <c r="A2" s="107" t="s">
        <v>72</v>
      </c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>
      <c r="A3" s="107"/>
      <c r="B3" s="27"/>
      <c r="C3" s="1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>
      <c r="A4" s="107"/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>
      <c r="A5" s="107"/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>
      <c r="A6" s="107"/>
      <c r="B6" s="1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>
      <c r="A7" s="107"/>
      <c r="B7" s="1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 ht="16.25" customHeight="1">
      <c r="A8" s="107"/>
      <c r="B8" s="18"/>
      <c r="C8" s="1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>
      <c r="A9" s="108"/>
      <c r="B9" s="2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>
      <c r="A10" s="68"/>
      <c r="B10" s="68"/>
      <c r="C10" s="68"/>
      <c r="D10" s="69"/>
      <c r="E10" s="70"/>
      <c r="F10" s="71"/>
      <c r="G10" s="72"/>
      <c r="H10" s="70"/>
      <c r="I10" s="70"/>
      <c r="J10" s="70"/>
      <c r="K10" s="73"/>
      <c r="L10" s="74"/>
      <c r="M10" s="75"/>
      <c r="N10" s="75"/>
      <c r="O10" s="76"/>
    </row>
    <row r="11" spans="1:15" ht="14.4" customHeight="1">
      <c r="A11" s="106" t="s">
        <v>73</v>
      </c>
      <c r="B11" s="81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30"/>
    </row>
    <row r="12" spans="1:15">
      <c r="A12" s="106"/>
      <c r="B12" s="81"/>
      <c r="C12" s="21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30"/>
    </row>
    <row r="13" spans="1:15">
      <c r="A13" s="106"/>
      <c r="B13" s="81"/>
      <c r="C13" s="2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30"/>
    </row>
    <row r="14" spans="1:15">
      <c r="A14" s="106"/>
      <c r="B14" s="81"/>
      <c r="C14" s="21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30"/>
    </row>
    <row r="15" spans="1:15">
      <c r="A15" s="106"/>
      <c r="B15" s="8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30"/>
    </row>
  </sheetData>
  <mergeCells count="2">
    <mergeCell ref="A11:A15"/>
    <mergeCell ref="A2:A9"/>
  </mergeCells>
  <phoneticPr fontId="7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"/>
  <sheetViews>
    <sheetView topLeftCell="E15" zoomScale="55" zoomScaleNormal="55" workbookViewId="0">
      <selection activeCell="V103" sqref="V103"/>
    </sheetView>
  </sheetViews>
  <sheetFormatPr defaultRowHeight="14.5"/>
  <sheetData>
    <row r="1" spans="1:28">
      <c r="A1" s="8" t="s">
        <v>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" shapeId="40966" r:id="rId4">
          <objectPr defaultSize="0" r:id="rId5">
            <anchor moveWithCells="1">
              <from>
                <xdr:col>9</xdr:col>
                <xdr:colOff>69850</xdr:colOff>
                <xdr:row>13</xdr:row>
                <xdr:rowOff>82550</xdr:rowOff>
              </from>
              <to>
                <xdr:col>37</xdr:col>
                <xdr:colOff>177800</xdr:colOff>
                <xdr:row>61</xdr:row>
                <xdr:rowOff>6350</xdr:rowOff>
              </to>
            </anchor>
          </objectPr>
        </oleObject>
      </mc:Choice>
      <mc:Fallback>
        <oleObject progId="Visio" shapeId="40966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37"/>
  <sheetViews>
    <sheetView zoomScale="70" zoomScaleNormal="70" workbookViewId="0">
      <pane ySplit="1" topLeftCell="A2" activePane="bottomLeft" state="frozen"/>
      <selection pane="bottomLeft" activeCell="F12" sqref="F12"/>
    </sheetView>
  </sheetViews>
  <sheetFormatPr defaultRowHeight="14.5"/>
  <cols>
    <col min="1" max="1" width="19.54296875" bestFit="1" customWidth="1"/>
    <col min="2" max="2" width="20.90625" style="6" bestFit="1" customWidth="1"/>
    <col min="3" max="4" width="20.90625" style="6" customWidth="1"/>
    <col min="5" max="5" width="15.08984375" style="6" bestFit="1" customWidth="1"/>
    <col min="6" max="6" width="48.1796875" style="10" bestFit="1" customWidth="1"/>
    <col min="7" max="7" width="38.1796875" style="10" bestFit="1" customWidth="1"/>
    <col min="8" max="8" width="31.6328125" style="10" customWidth="1"/>
    <col min="9" max="9" width="12.453125" style="6" bestFit="1" customWidth="1"/>
    <col min="10" max="10" width="17.453125" style="6" customWidth="1"/>
    <col min="11" max="11" width="22.08984375" style="6" bestFit="1" customWidth="1"/>
    <col min="12" max="12" width="9.1796875" customWidth="1"/>
  </cols>
  <sheetData>
    <row r="1" spans="1:89" ht="15.5" thickTop="1" thickBot="1">
      <c r="A1" s="41" t="s">
        <v>9</v>
      </c>
      <c r="B1" s="4" t="s">
        <v>7</v>
      </c>
      <c r="C1" s="4" t="s">
        <v>33</v>
      </c>
      <c r="D1" s="4" t="s">
        <v>34</v>
      </c>
      <c r="E1" s="4" t="s">
        <v>6</v>
      </c>
      <c r="F1" s="42" t="s">
        <v>8</v>
      </c>
      <c r="G1" s="42" t="s">
        <v>30</v>
      </c>
      <c r="H1" s="42" t="s">
        <v>35</v>
      </c>
      <c r="I1" s="4" t="s">
        <v>24</v>
      </c>
      <c r="J1" s="4" t="s">
        <v>31</v>
      </c>
      <c r="K1" s="4" t="s">
        <v>13</v>
      </c>
    </row>
    <row r="2" spans="1:89" s="32" customFormat="1" ht="29.5" thickTop="1">
      <c r="A2" s="111" t="s">
        <v>72</v>
      </c>
      <c r="B2" s="83" t="s">
        <v>51</v>
      </c>
      <c r="C2" s="83" t="s">
        <v>55</v>
      </c>
      <c r="D2" s="83" t="s">
        <v>53</v>
      </c>
      <c r="E2" s="84" t="s">
        <v>76</v>
      </c>
      <c r="F2" s="83" t="s">
        <v>77</v>
      </c>
      <c r="G2" s="83" t="s">
        <v>73</v>
      </c>
      <c r="H2" s="84" t="s">
        <v>76</v>
      </c>
      <c r="I2" s="83" t="s">
        <v>56</v>
      </c>
      <c r="J2" s="83" t="s">
        <v>57</v>
      </c>
      <c r="K2" s="83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</row>
    <row r="3" spans="1:89" s="32" customFormat="1" ht="80.400000000000006" customHeight="1" thickBot="1">
      <c r="A3" s="112"/>
      <c r="B3" s="83" t="s">
        <v>65</v>
      </c>
      <c r="C3" s="83" t="s">
        <v>55</v>
      </c>
      <c r="D3" s="83" t="s">
        <v>67</v>
      </c>
      <c r="E3" s="84" t="s">
        <v>78</v>
      </c>
      <c r="F3" s="83" t="s">
        <v>79</v>
      </c>
      <c r="G3" s="83" t="s">
        <v>80</v>
      </c>
      <c r="H3" s="84" t="s">
        <v>81</v>
      </c>
      <c r="I3" s="83" t="s">
        <v>56</v>
      </c>
      <c r="J3" s="83" t="s">
        <v>57</v>
      </c>
      <c r="K3" s="8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</row>
    <row r="4" spans="1:89" s="35" customFormat="1" ht="15.5" thickTop="1" thickBot="1">
      <c r="A4" s="109"/>
      <c r="B4" s="109"/>
      <c r="C4" s="109"/>
      <c r="D4" s="109"/>
      <c r="E4" s="110"/>
      <c r="F4" s="109"/>
      <c r="G4" s="109"/>
      <c r="H4" s="109"/>
      <c r="I4" s="109"/>
      <c r="J4" s="110"/>
      <c r="K4" s="43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</row>
    <row r="5" spans="1:89" s="35" customFormat="1" ht="29.5" thickTop="1">
      <c r="A5" s="113" t="s">
        <v>73</v>
      </c>
      <c r="B5" s="31" t="s">
        <v>51</v>
      </c>
      <c r="C5" s="31" t="s">
        <v>55</v>
      </c>
      <c r="D5" s="31" t="s">
        <v>53</v>
      </c>
      <c r="E5" s="36" t="s">
        <v>76</v>
      </c>
      <c r="F5" s="31" t="s">
        <v>82</v>
      </c>
      <c r="G5" s="31" t="s">
        <v>72</v>
      </c>
      <c r="H5" s="36" t="s">
        <v>76</v>
      </c>
      <c r="I5" s="31" t="s">
        <v>56</v>
      </c>
      <c r="J5" s="31" t="s">
        <v>57</v>
      </c>
      <c r="K5" s="31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</row>
    <row r="6" spans="1:89" s="35" customFormat="1" ht="44" thickBot="1">
      <c r="A6" s="114"/>
      <c r="B6" s="31" t="s">
        <v>65</v>
      </c>
      <c r="C6" s="31" t="s">
        <v>55</v>
      </c>
      <c r="D6" s="31" t="s">
        <v>67</v>
      </c>
      <c r="E6" s="36" t="s">
        <v>78</v>
      </c>
      <c r="F6" s="31" t="s">
        <v>83</v>
      </c>
      <c r="G6" s="31" t="s">
        <v>84</v>
      </c>
      <c r="H6" s="36" t="s">
        <v>81</v>
      </c>
      <c r="I6" s="31" t="s">
        <v>56</v>
      </c>
      <c r="J6" s="31" t="s">
        <v>57</v>
      </c>
      <c r="K6" s="31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</row>
    <row r="7" spans="1:89" s="35" customFormat="1" ht="15.5" thickTop="1" thickBot="1">
      <c r="A7" s="109"/>
      <c r="B7" s="109"/>
      <c r="C7" s="109"/>
      <c r="D7" s="109"/>
      <c r="E7" s="110"/>
      <c r="F7" s="109"/>
      <c r="G7" s="109"/>
      <c r="H7" s="109"/>
      <c r="I7" s="109"/>
      <c r="J7" s="110"/>
      <c r="K7" s="43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</row>
    <row r="8" spans="1:89" s="35" customFormat="1" ht="15" thickTop="1">
      <c r="A8" s="32"/>
      <c r="B8" s="31"/>
      <c r="C8" s="31"/>
      <c r="D8" s="31"/>
      <c r="E8" s="33"/>
      <c r="F8" s="34"/>
      <c r="G8" s="34"/>
      <c r="H8" s="34"/>
      <c r="I8" s="31"/>
      <c r="J8" s="31"/>
      <c r="K8" s="31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</row>
    <row r="9" spans="1:89" s="35" customFormat="1">
      <c r="A9" s="32"/>
      <c r="B9" s="31"/>
      <c r="C9" s="31"/>
      <c r="D9" s="31"/>
      <c r="E9" s="33"/>
      <c r="F9" s="34"/>
      <c r="G9" s="34"/>
      <c r="H9" s="34"/>
      <c r="I9" s="31"/>
      <c r="J9" s="31"/>
      <c r="K9" s="31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</row>
    <row r="10" spans="1:89" s="35" customFormat="1">
      <c r="A10" s="32"/>
      <c r="B10" s="31"/>
      <c r="C10" s="31"/>
      <c r="D10" s="31"/>
      <c r="E10" s="33"/>
      <c r="F10" s="34"/>
      <c r="G10" s="34"/>
      <c r="H10" s="34"/>
      <c r="I10" s="31"/>
      <c r="J10" s="31"/>
      <c r="K10" s="31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</row>
    <row r="11" spans="1:89" s="35" customFormat="1">
      <c r="A11" s="32"/>
      <c r="B11" s="31"/>
      <c r="C11" s="31"/>
      <c r="D11" s="31"/>
      <c r="E11" s="33"/>
      <c r="H11" s="34"/>
      <c r="I11" s="31"/>
      <c r="J11" s="31"/>
      <c r="K11" s="3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 spans="1:89" s="35" customFormat="1">
      <c r="A12" s="32"/>
      <c r="B12" s="31"/>
      <c r="C12" s="31"/>
      <c r="D12" s="31"/>
      <c r="E12" s="33"/>
      <c r="H12" s="34"/>
      <c r="I12" s="31"/>
      <c r="J12" s="31"/>
      <c r="K12" s="31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</row>
    <row r="13" spans="1:89" s="35" customFormat="1">
      <c r="A13" s="32"/>
      <c r="B13" s="31"/>
      <c r="C13" s="31"/>
      <c r="D13" s="31"/>
      <c r="E13" s="33"/>
      <c r="H13" s="34"/>
      <c r="I13" s="31"/>
      <c r="J13" s="31"/>
      <c r="K13" s="31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</row>
    <row r="14" spans="1:89" s="35" customFormat="1">
      <c r="A14" s="32"/>
      <c r="B14" s="31"/>
      <c r="C14" s="31"/>
      <c r="D14" s="31"/>
      <c r="E14" s="33"/>
      <c r="F14" s="34"/>
      <c r="G14" s="34"/>
      <c r="H14" s="34"/>
      <c r="I14" s="31"/>
      <c r="J14" s="31"/>
      <c r="K14" s="31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</row>
    <row r="15" spans="1:89" s="35" customFormat="1">
      <c r="A15" s="32"/>
      <c r="B15" s="31"/>
      <c r="C15" s="31"/>
      <c r="D15" s="31"/>
      <c r="E15" s="33"/>
      <c r="F15" s="34"/>
      <c r="H15" s="34"/>
      <c r="I15" s="31"/>
      <c r="J15" s="31"/>
      <c r="K15" s="31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</row>
    <row r="16" spans="1:89" s="35" customFormat="1">
      <c r="A16" s="32"/>
      <c r="B16" s="31"/>
      <c r="C16" s="31"/>
      <c r="D16" s="31"/>
      <c r="E16" s="33"/>
      <c r="G16" s="34"/>
      <c r="H16" s="34"/>
      <c r="I16" s="31"/>
      <c r="J16" s="31"/>
      <c r="K16" s="31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spans="1:89" s="35" customFormat="1">
      <c r="A17" s="32"/>
      <c r="B17" s="31"/>
      <c r="C17" s="31"/>
      <c r="D17" s="31"/>
      <c r="E17" s="33"/>
      <c r="F17" s="34"/>
      <c r="G17" s="34"/>
      <c r="H17" s="34"/>
      <c r="I17" s="31"/>
      <c r="J17" s="31"/>
      <c r="K17" s="31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</row>
    <row r="18" spans="1:89" s="35" customFormat="1">
      <c r="A18" s="32"/>
      <c r="B18" s="31"/>
      <c r="C18" s="31"/>
      <c r="D18" s="31"/>
      <c r="E18" s="33"/>
      <c r="F18" s="34"/>
      <c r="G18" s="34"/>
      <c r="H18" s="34"/>
      <c r="I18" s="31"/>
      <c r="J18" s="31"/>
      <c r="K18" s="31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spans="1:89" s="35" customFormat="1">
      <c r="A19" s="32"/>
      <c r="B19" s="31"/>
      <c r="C19" s="31"/>
      <c r="D19" s="31"/>
      <c r="E19" s="33"/>
      <c r="F19" s="34"/>
      <c r="G19" s="34"/>
      <c r="H19" s="34"/>
      <c r="I19" s="31"/>
      <c r="J19" s="31"/>
      <c r="K19" s="31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 spans="1:89" s="35" customFormat="1">
      <c r="A20" s="32"/>
      <c r="B20" s="31"/>
      <c r="C20" s="31"/>
      <c r="D20" s="31"/>
      <c r="E20" s="33"/>
      <c r="F20" s="34"/>
      <c r="G20" s="34"/>
      <c r="H20" s="34"/>
      <c r="I20" s="31"/>
      <c r="J20" s="31"/>
      <c r="K20" s="31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</row>
    <row r="21" spans="1:89" s="35" customFormat="1">
      <c r="A21" s="32"/>
      <c r="B21" s="31"/>
      <c r="C21" s="31"/>
      <c r="D21" s="31"/>
      <c r="E21" s="33"/>
      <c r="F21" s="34"/>
      <c r="G21" s="34"/>
      <c r="H21" s="34"/>
      <c r="I21" s="31"/>
      <c r="J21" s="31"/>
      <c r="K21" s="3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 spans="1:89" s="35" customFormat="1">
      <c r="A22" s="32"/>
      <c r="B22" s="31"/>
      <c r="C22" s="31"/>
      <c r="D22" s="31"/>
      <c r="E22" s="33"/>
      <c r="F22" s="34"/>
      <c r="G22" s="34"/>
      <c r="H22" s="34"/>
      <c r="I22" s="31"/>
      <c r="J22" s="31"/>
      <c r="K22" s="31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 spans="1:89" s="35" customFormat="1">
      <c r="A23" s="32"/>
      <c r="B23" s="31"/>
      <c r="C23" s="31"/>
      <c r="D23" s="31"/>
      <c r="E23" s="33"/>
      <c r="F23" s="34"/>
      <c r="G23" s="34"/>
      <c r="H23" s="34"/>
      <c r="I23" s="31"/>
      <c r="J23" s="31"/>
      <c r="K23" s="31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 spans="1:89" s="35" customFormat="1">
      <c r="A24" s="32"/>
      <c r="B24" s="31"/>
      <c r="C24" s="31"/>
      <c r="D24" s="31"/>
      <c r="E24" s="33"/>
      <c r="H24" s="34"/>
      <c r="I24" s="31"/>
      <c r="J24" s="31"/>
      <c r="K24" s="31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 spans="1:89" s="35" customFormat="1">
      <c r="A25" s="32"/>
      <c r="B25" s="31"/>
      <c r="C25" s="31"/>
      <c r="D25" s="31"/>
      <c r="E25" s="33"/>
      <c r="F25" s="34"/>
      <c r="G25" s="34"/>
      <c r="H25" s="34"/>
      <c r="I25" s="31"/>
      <c r="J25" s="31"/>
      <c r="K25" s="31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 spans="1:89" s="35" customFormat="1">
      <c r="A26" s="32"/>
      <c r="B26" s="31"/>
      <c r="C26" s="31"/>
      <c r="D26" s="31"/>
      <c r="E26" s="33"/>
      <c r="F26" s="32"/>
      <c r="G26" s="32"/>
      <c r="H26" s="34"/>
      <c r="I26" s="31"/>
      <c r="J26" s="31"/>
      <c r="K26" s="31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 spans="1:89" s="35" customFormat="1">
      <c r="A27" s="32"/>
      <c r="B27" s="31"/>
      <c r="C27" s="31"/>
      <c r="D27" s="31"/>
      <c r="E27" s="33"/>
      <c r="F27" s="34"/>
      <c r="G27" s="34"/>
      <c r="H27" s="34"/>
      <c r="I27" s="31"/>
      <c r="J27" s="31"/>
      <c r="K27" s="3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spans="1:89" s="35" customFormat="1">
      <c r="A28" s="32"/>
      <c r="B28" s="31"/>
      <c r="C28" s="31"/>
      <c r="D28" s="31"/>
      <c r="E28" s="33"/>
      <c r="F28" s="34"/>
      <c r="G28" s="34"/>
      <c r="H28" s="34"/>
      <c r="I28" s="31"/>
      <c r="J28" s="31"/>
      <c r="K28" s="31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pans="1:89" s="35" customFormat="1">
      <c r="A29" s="32"/>
      <c r="B29" s="31"/>
      <c r="C29" s="31"/>
      <c r="D29" s="31"/>
      <c r="E29" s="33"/>
      <c r="F29" s="34"/>
      <c r="G29" s="34"/>
      <c r="H29" s="34"/>
      <c r="I29" s="31"/>
      <c r="J29" s="31"/>
      <c r="K29" s="31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pans="1:89" s="35" customFormat="1">
      <c r="A30" s="32"/>
      <c r="B30" s="31"/>
      <c r="C30" s="31"/>
      <c r="D30" s="31"/>
      <c r="E30" s="33"/>
      <c r="F30" s="34"/>
      <c r="G30" s="34"/>
      <c r="H30" s="34"/>
      <c r="I30" s="31"/>
      <c r="J30" s="31"/>
      <c r="K30" s="31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pans="1:89" s="35" customFormat="1">
      <c r="A31" s="32"/>
      <c r="B31" s="31"/>
      <c r="C31" s="31"/>
      <c r="D31" s="31"/>
      <c r="E31" s="33"/>
      <c r="F31" s="34"/>
      <c r="G31" s="34"/>
      <c r="H31" s="34"/>
      <c r="I31" s="31"/>
      <c r="J31" s="31"/>
      <c r="K31" s="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</row>
    <row r="32" spans="1:89" s="35" customFormat="1">
      <c r="A32" s="32"/>
      <c r="B32" s="31"/>
      <c r="C32" s="31"/>
      <c r="D32" s="31"/>
      <c r="E32" s="33"/>
      <c r="F32" s="34"/>
      <c r="G32" s="34"/>
      <c r="H32" s="34"/>
      <c r="I32" s="31"/>
      <c r="J32" s="31"/>
      <c r="K32" s="31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</row>
    <row r="33" spans="1:89" s="35" customFormat="1">
      <c r="A33" s="32"/>
      <c r="B33" s="31"/>
      <c r="C33" s="31"/>
      <c r="D33" s="31"/>
      <c r="E33" s="33"/>
      <c r="F33" s="34"/>
      <c r="G33" s="34"/>
      <c r="H33" s="34"/>
      <c r="I33" s="31"/>
      <c r="J33" s="31"/>
      <c r="K33" s="31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 spans="1:89" s="35" customFormat="1">
      <c r="A34" s="32"/>
      <c r="B34" s="6"/>
      <c r="C34" s="6"/>
      <c r="D34" s="6"/>
      <c r="E34" s="6"/>
      <c r="F34" s="10"/>
      <c r="G34" s="10"/>
      <c r="H34" s="10"/>
      <c r="I34" s="6"/>
      <c r="J34" s="6"/>
      <c r="K34" s="6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spans="1:89" s="35" customFormat="1">
      <c r="A35" s="32"/>
      <c r="B35" s="6"/>
      <c r="C35" s="6"/>
      <c r="D35" s="6"/>
      <c r="E35" s="6"/>
      <c r="F35" s="10"/>
      <c r="G35" s="10"/>
      <c r="H35" s="10"/>
      <c r="I35" s="6"/>
      <c r="J35" s="6"/>
      <c r="K35" s="6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</row>
    <row r="36" spans="1:89" s="35" customFormat="1">
      <c r="A36" s="32"/>
      <c r="B36" s="6"/>
      <c r="C36" s="6"/>
      <c r="D36" s="6"/>
      <c r="E36" s="6"/>
      <c r="F36" s="10"/>
      <c r="G36" s="10"/>
      <c r="H36" s="10"/>
      <c r="I36" s="6"/>
      <c r="J36" s="6"/>
      <c r="K36" s="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 spans="1:89" s="35" customFormat="1">
      <c r="A37" s="32"/>
      <c r="B37" s="6"/>
      <c r="C37" s="6"/>
      <c r="D37" s="6"/>
      <c r="E37" s="6"/>
      <c r="F37" s="10"/>
      <c r="G37" s="10"/>
      <c r="H37" s="10"/>
      <c r="I37" s="6"/>
      <c r="J37" s="6"/>
      <c r="K37" s="6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</row>
  </sheetData>
  <mergeCells count="6">
    <mergeCell ref="A7:E7"/>
    <mergeCell ref="F7:J7"/>
    <mergeCell ref="A2:A3"/>
    <mergeCell ref="A4:E4"/>
    <mergeCell ref="F4:J4"/>
    <mergeCell ref="A5:A6"/>
  </mergeCells>
  <phoneticPr fontId="7" type="noConversion"/>
  <conditionalFormatting sqref="B1:E1">
    <cfRule type="duplicateValues" dxfId="1" priority="7" stopIfTrue="1"/>
    <cfRule type="duplicateValues" dxfId="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"/>
  <sheetViews>
    <sheetView tabSelected="1" zoomScale="70" zoomScaleNormal="70" workbookViewId="0">
      <pane ySplit="1" topLeftCell="A2" activePane="bottomLeft" state="frozen"/>
      <selection pane="bottomLeft" activeCell="E24" sqref="E24"/>
    </sheetView>
  </sheetViews>
  <sheetFormatPr defaultRowHeight="14.5"/>
  <cols>
    <col min="1" max="1" width="19.1796875" style="6" bestFit="1" customWidth="1"/>
    <col min="2" max="2" width="17.54296875" style="9" bestFit="1" customWidth="1"/>
    <col min="3" max="3" width="25.81640625" style="9" bestFit="1" customWidth="1"/>
    <col min="4" max="4" width="12.1796875" style="9" bestFit="1" customWidth="1"/>
    <col min="5" max="5" width="16.08984375" style="9" bestFit="1" customWidth="1"/>
    <col min="6" max="6" width="7.6328125" style="9" bestFit="1" customWidth="1"/>
    <col min="7" max="7" width="13.08984375" style="9" bestFit="1" customWidth="1"/>
    <col min="8" max="8" width="8.6328125" style="9" customWidth="1"/>
    <col min="9" max="9" width="12.36328125" style="9" bestFit="1" customWidth="1"/>
    <col min="10" max="10" width="17.36328125" style="9" bestFit="1" customWidth="1"/>
    <col min="11" max="11" width="21.54296875" style="9" bestFit="1" customWidth="1"/>
    <col min="12" max="12" width="15.81640625" style="9" bestFit="1" customWidth="1"/>
  </cols>
  <sheetData>
    <row r="1" spans="1:12" ht="31.25" customHeight="1" thickBot="1">
      <c r="A1" s="48" t="s">
        <v>9</v>
      </c>
      <c r="B1" s="52" t="s">
        <v>14</v>
      </c>
      <c r="C1" s="52" t="s">
        <v>146</v>
      </c>
      <c r="D1" s="52" t="s">
        <v>59</v>
      </c>
      <c r="E1" s="52" t="s">
        <v>11</v>
      </c>
      <c r="F1" s="53" t="s">
        <v>109</v>
      </c>
      <c r="G1" s="52" t="s">
        <v>12</v>
      </c>
      <c r="H1" s="52" t="s">
        <v>26</v>
      </c>
      <c r="I1" s="51" t="s">
        <v>25</v>
      </c>
      <c r="J1" s="52" t="s">
        <v>38</v>
      </c>
      <c r="K1" s="52" t="s">
        <v>37</v>
      </c>
      <c r="L1" s="52" t="s">
        <v>36</v>
      </c>
    </row>
    <row r="2" spans="1:12" ht="15.5" thickTop="1" thickBot="1">
      <c r="A2" s="115" t="s">
        <v>72</v>
      </c>
      <c r="B2" s="55" t="s">
        <v>51</v>
      </c>
      <c r="C2" s="54" t="s">
        <v>149</v>
      </c>
      <c r="D2" s="55" t="s">
        <v>61</v>
      </c>
      <c r="E2" s="85" t="s">
        <v>88</v>
      </c>
      <c r="F2" s="55" t="s">
        <v>29</v>
      </c>
      <c r="G2" s="55" t="s">
        <v>89</v>
      </c>
      <c r="H2" s="61">
        <v>1500</v>
      </c>
      <c r="I2" s="62" t="s">
        <v>58</v>
      </c>
      <c r="J2" s="61" t="s">
        <v>90</v>
      </c>
      <c r="K2" s="55" t="s">
        <v>51</v>
      </c>
      <c r="L2" s="55" t="s">
        <v>91</v>
      </c>
    </row>
    <row r="3" spans="1:12" ht="15" thickBot="1">
      <c r="A3" s="116"/>
      <c r="B3" s="60" t="s">
        <v>95</v>
      </c>
      <c r="C3" s="60" t="s">
        <v>151</v>
      </c>
      <c r="D3" s="60" t="s">
        <v>64</v>
      </c>
      <c r="E3" s="86" t="s">
        <v>136</v>
      </c>
      <c r="F3" s="60">
        <v>101</v>
      </c>
      <c r="G3" s="60" t="s">
        <v>96</v>
      </c>
      <c r="H3" s="61">
        <v>1500</v>
      </c>
      <c r="I3" s="62" t="s">
        <v>58</v>
      </c>
      <c r="J3" s="59" t="s">
        <v>112</v>
      </c>
      <c r="K3" s="54" t="s">
        <v>131</v>
      </c>
      <c r="L3" s="93" t="s">
        <v>132</v>
      </c>
    </row>
    <row r="4" spans="1:12" ht="15" thickBot="1">
      <c r="A4" s="116"/>
      <c r="B4" s="60" t="s">
        <v>97</v>
      </c>
      <c r="C4" s="60" t="s">
        <v>151</v>
      </c>
      <c r="D4" s="60" t="s">
        <v>98</v>
      </c>
      <c r="E4" s="87" t="s">
        <v>137</v>
      </c>
      <c r="F4" s="60">
        <v>102</v>
      </c>
      <c r="G4" s="60" t="s">
        <v>99</v>
      </c>
      <c r="H4" s="61">
        <v>1500</v>
      </c>
      <c r="I4" s="62" t="s">
        <v>58</v>
      </c>
      <c r="J4" s="59" t="s">
        <v>112</v>
      </c>
      <c r="K4" s="54" t="s">
        <v>118</v>
      </c>
      <c r="L4" s="54" t="s">
        <v>119</v>
      </c>
    </row>
    <row r="5" spans="1:12" ht="15" thickBot="1">
      <c r="A5" s="116"/>
      <c r="B5" s="60" t="s">
        <v>100</v>
      </c>
      <c r="C5" s="60" t="s">
        <v>150</v>
      </c>
      <c r="D5" s="60" t="s">
        <v>101</v>
      </c>
      <c r="E5" s="87" t="s">
        <v>138</v>
      </c>
      <c r="F5" s="60">
        <v>103</v>
      </c>
      <c r="G5" s="60" t="s">
        <v>102</v>
      </c>
      <c r="H5" s="61">
        <v>1500</v>
      </c>
      <c r="I5" s="62" t="s">
        <v>58</v>
      </c>
      <c r="J5" s="59" t="s">
        <v>112</v>
      </c>
      <c r="K5" s="54" t="s">
        <v>115</v>
      </c>
      <c r="L5" s="55" t="s">
        <v>116</v>
      </c>
    </row>
    <row r="6" spans="1:12" ht="15" thickBot="1">
      <c r="A6" s="116"/>
      <c r="B6" s="60" t="s">
        <v>103</v>
      </c>
      <c r="C6" s="60" t="s">
        <v>151</v>
      </c>
      <c r="D6" s="60" t="s">
        <v>104</v>
      </c>
      <c r="E6" s="87" t="s">
        <v>139</v>
      </c>
      <c r="F6" s="60">
        <v>104</v>
      </c>
      <c r="G6" s="60" t="s">
        <v>105</v>
      </c>
      <c r="H6" s="61">
        <v>1500</v>
      </c>
      <c r="I6" s="62" t="s">
        <v>58</v>
      </c>
      <c r="J6" s="57" t="s">
        <v>122</v>
      </c>
      <c r="K6" s="54" t="s">
        <v>123</v>
      </c>
      <c r="L6" s="54" t="s">
        <v>124</v>
      </c>
    </row>
    <row r="7" spans="1:12" ht="15" thickBot="1">
      <c r="A7" s="116"/>
      <c r="B7" s="60" t="s">
        <v>106</v>
      </c>
      <c r="C7" s="60" t="s">
        <v>150</v>
      </c>
      <c r="D7" s="60" t="s">
        <v>104</v>
      </c>
      <c r="E7" s="87" t="s">
        <v>135</v>
      </c>
      <c r="F7" s="60">
        <v>105</v>
      </c>
      <c r="G7" s="60" t="s">
        <v>107</v>
      </c>
      <c r="H7" s="61">
        <v>1500</v>
      </c>
      <c r="I7" s="62" t="s">
        <v>58</v>
      </c>
      <c r="J7" s="57" t="s">
        <v>122</v>
      </c>
      <c r="K7" s="58" t="s">
        <v>68</v>
      </c>
      <c r="L7" s="60" t="s">
        <v>128</v>
      </c>
    </row>
    <row r="8" spans="1:12">
      <c r="A8" s="116"/>
      <c r="B8" s="63" t="s">
        <v>85</v>
      </c>
      <c r="C8" s="63" t="s">
        <v>152</v>
      </c>
      <c r="D8" s="64" t="s">
        <v>60</v>
      </c>
      <c r="E8" s="85" t="s">
        <v>86</v>
      </c>
      <c r="F8" s="63">
        <v>150</v>
      </c>
      <c r="G8" s="63" t="s">
        <v>108</v>
      </c>
      <c r="H8" s="65">
        <v>1500</v>
      </c>
      <c r="I8" s="66" t="s">
        <v>58</v>
      </c>
      <c r="J8" s="59" t="s">
        <v>112</v>
      </c>
      <c r="K8" s="64" t="s">
        <v>92</v>
      </c>
      <c r="L8" s="64" t="s">
        <v>93</v>
      </c>
    </row>
    <row r="9" spans="1:12">
      <c r="A9" s="122"/>
      <c r="B9" s="123"/>
      <c r="C9" s="123"/>
      <c r="D9" s="123"/>
      <c r="E9" s="123"/>
      <c r="F9" s="124"/>
      <c r="G9" s="125"/>
      <c r="H9" s="125"/>
      <c r="I9" s="125"/>
      <c r="J9" s="125"/>
      <c r="K9" s="125"/>
      <c r="L9" s="52"/>
    </row>
    <row r="10" spans="1:12">
      <c r="A10" s="117" t="s">
        <v>72</v>
      </c>
      <c r="B10" s="54" t="s">
        <v>51</v>
      </c>
      <c r="C10" s="54" t="s">
        <v>149</v>
      </c>
      <c r="D10" s="54" t="s">
        <v>61</v>
      </c>
      <c r="E10" s="85" t="s">
        <v>88</v>
      </c>
      <c r="F10" s="54" t="s">
        <v>29</v>
      </c>
      <c r="G10" s="85" t="s">
        <v>91</v>
      </c>
      <c r="H10" s="67">
        <v>1500</v>
      </c>
      <c r="I10" s="67" t="s">
        <v>58</v>
      </c>
      <c r="J10" s="67" t="s">
        <v>94</v>
      </c>
      <c r="K10" s="54" t="s">
        <v>51</v>
      </c>
      <c r="L10" s="54" t="s">
        <v>89</v>
      </c>
    </row>
    <row r="11" spans="1:12">
      <c r="A11" s="117"/>
      <c r="B11" s="60" t="s">
        <v>95</v>
      </c>
      <c r="C11" s="60" t="s">
        <v>151</v>
      </c>
      <c r="D11" s="60" t="s">
        <v>64</v>
      </c>
      <c r="E11" s="86" t="s">
        <v>136</v>
      </c>
      <c r="F11" s="60">
        <v>101</v>
      </c>
      <c r="G11" s="88" t="s">
        <v>133</v>
      </c>
      <c r="H11" s="67">
        <v>1500</v>
      </c>
      <c r="I11" s="67" t="s">
        <v>58</v>
      </c>
      <c r="J11" s="59" t="s">
        <v>113</v>
      </c>
      <c r="K11" s="54" t="s">
        <v>131</v>
      </c>
      <c r="L11" s="93" t="s">
        <v>134</v>
      </c>
    </row>
    <row r="12" spans="1:12">
      <c r="A12" s="117"/>
      <c r="B12" s="60" t="s">
        <v>97</v>
      </c>
      <c r="C12" s="60" t="s">
        <v>151</v>
      </c>
      <c r="D12" s="60" t="s">
        <v>98</v>
      </c>
      <c r="E12" s="87" t="s">
        <v>137</v>
      </c>
      <c r="F12" s="60">
        <v>102</v>
      </c>
      <c r="G12" s="85" t="s">
        <v>120</v>
      </c>
      <c r="H12" s="67">
        <v>1500</v>
      </c>
      <c r="I12" s="67" t="s">
        <v>58</v>
      </c>
      <c r="J12" s="59" t="s">
        <v>113</v>
      </c>
      <c r="K12" s="54" t="s">
        <v>118</v>
      </c>
      <c r="L12" s="54" t="s">
        <v>121</v>
      </c>
    </row>
    <row r="13" spans="1:12">
      <c r="A13" s="117"/>
      <c r="B13" s="60" t="s">
        <v>100</v>
      </c>
      <c r="C13" s="60" t="s">
        <v>150</v>
      </c>
      <c r="D13" s="60" t="s">
        <v>101</v>
      </c>
      <c r="E13" s="87" t="s">
        <v>138</v>
      </c>
      <c r="F13" s="60">
        <v>103</v>
      </c>
      <c r="G13" s="85" t="s">
        <v>114</v>
      </c>
      <c r="H13" s="67">
        <v>1500</v>
      </c>
      <c r="I13" s="67" t="s">
        <v>58</v>
      </c>
      <c r="J13" s="59" t="s">
        <v>113</v>
      </c>
      <c r="K13" s="54" t="s">
        <v>115</v>
      </c>
      <c r="L13" s="54" t="s">
        <v>117</v>
      </c>
    </row>
    <row r="14" spans="1:12">
      <c r="A14" s="117"/>
      <c r="B14" s="60" t="s">
        <v>103</v>
      </c>
      <c r="C14" s="60" t="s">
        <v>151</v>
      </c>
      <c r="D14" s="60" t="s">
        <v>104</v>
      </c>
      <c r="E14" s="87" t="s">
        <v>139</v>
      </c>
      <c r="F14" s="60">
        <v>104</v>
      </c>
      <c r="G14" s="85" t="s">
        <v>125</v>
      </c>
      <c r="H14" s="67">
        <v>1500</v>
      </c>
      <c r="I14" s="67" t="s">
        <v>58</v>
      </c>
      <c r="J14" s="57" t="s">
        <v>127</v>
      </c>
      <c r="K14" s="54" t="s">
        <v>123</v>
      </c>
      <c r="L14" s="54" t="s">
        <v>126</v>
      </c>
    </row>
    <row r="15" spans="1:12">
      <c r="A15" s="117"/>
      <c r="B15" s="60" t="s">
        <v>106</v>
      </c>
      <c r="C15" s="60" t="s">
        <v>150</v>
      </c>
      <c r="D15" s="60" t="s">
        <v>104</v>
      </c>
      <c r="E15" s="87" t="s">
        <v>135</v>
      </c>
      <c r="F15" s="60">
        <v>105</v>
      </c>
      <c r="G15" s="85" t="s">
        <v>129</v>
      </c>
      <c r="H15" s="67">
        <v>1500</v>
      </c>
      <c r="I15" s="67" t="s">
        <v>58</v>
      </c>
      <c r="J15" s="57" t="s">
        <v>127</v>
      </c>
      <c r="K15" s="54" t="s">
        <v>68</v>
      </c>
      <c r="L15" s="54" t="s">
        <v>130</v>
      </c>
    </row>
    <row r="16" spans="1:12">
      <c r="A16" s="117"/>
      <c r="B16" s="54" t="s">
        <v>85</v>
      </c>
      <c r="C16" s="63" t="s">
        <v>152</v>
      </c>
      <c r="D16" s="54" t="s">
        <v>60</v>
      </c>
      <c r="E16" s="85" t="s">
        <v>86</v>
      </c>
      <c r="F16" s="54">
        <v>150</v>
      </c>
      <c r="G16" s="85" t="s">
        <v>87</v>
      </c>
      <c r="H16" s="67">
        <v>1500</v>
      </c>
      <c r="I16" s="67" t="s">
        <v>58</v>
      </c>
      <c r="J16" s="57" t="s">
        <v>113</v>
      </c>
      <c r="K16" s="54" t="s">
        <v>92</v>
      </c>
      <c r="L16" s="54" t="s">
        <v>93</v>
      </c>
    </row>
    <row r="17" spans="1:12" ht="15" thickBot="1">
      <c r="A17" s="118"/>
      <c r="B17" s="119"/>
      <c r="C17" s="119"/>
      <c r="D17" s="119"/>
      <c r="E17" s="119"/>
      <c r="F17" s="120"/>
      <c r="G17" s="121"/>
      <c r="H17" s="121"/>
      <c r="I17" s="121"/>
      <c r="J17" s="121"/>
      <c r="K17" s="121"/>
      <c r="L17" s="51"/>
    </row>
    <row r="21" spans="1:12">
      <c r="A21" s="56"/>
      <c r="B21" s="50"/>
      <c r="C21" s="50"/>
      <c r="D21" s="50"/>
      <c r="E21" s="50"/>
      <c r="F21" s="50"/>
      <c r="G21" s="50"/>
      <c r="H21" s="50"/>
    </row>
    <row r="22" spans="1:12">
      <c r="A22" s="56"/>
      <c r="B22" s="50"/>
      <c r="C22" s="50"/>
      <c r="D22" s="50"/>
      <c r="E22" s="50"/>
      <c r="F22" s="50"/>
      <c r="G22" s="50"/>
      <c r="H22" s="50"/>
    </row>
    <row r="23" spans="1:12">
      <c r="A23" s="56"/>
      <c r="B23" s="50"/>
      <c r="C23" s="50"/>
      <c r="D23" s="50"/>
      <c r="E23" s="50"/>
      <c r="F23" s="50"/>
      <c r="G23" s="50"/>
      <c r="H23" s="50"/>
    </row>
    <row r="24" spans="1:12">
      <c r="A24" s="56"/>
      <c r="B24" s="50"/>
      <c r="C24" s="50"/>
      <c r="D24" s="50"/>
      <c r="E24" s="50"/>
      <c r="F24" s="50"/>
      <c r="G24" s="50"/>
      <c r="H24" s="50"/>
    </row>
    <row r="25" spans="1:12">
      <c r="A25" s="56"/>
      <c r="B25" s="50"/>
      <c r="C25" s="50"/>
      <c r="D25" s="50"/>
      <c r="E25" s="50"/>
      <c r="F25" s="50"/>
      <c r="G25" s="50"/>
      <c r="H25" s="50"/>
    </row>
    <row r="31" spans="1:12">
      <c r="D31" s="50"/>
    </row>
  </sheetData>
  <mergeCells count="6">
    <mergeCell ref="A2:A8"/>
    <mergeCell ref="A10:A16"/>
    <mergeCell ref="A17:F17"/>
    <mergeCell ref="G17:K17"/>
    <mergeCell ref="A9:F9"/>
    <mergeCell ref="G9:K9"/>
  </mergeCells>
  <phoneticPr fontId="7" type="noConversion"/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zoomScale="80" zoomScaleNormal="80" workbookViewId="0">
      <selection activeCell="C16" sqref="C16"/>
    </sheetView>
  </sheetViews>
  <sheetFormatPr defaultRowHeight="14.5"/>
  <cols>
    <col min="1" max="1" width="18.1796875" bestFit="1" customWidth="1"/>
    <col min="2" max="2" width="18.36328125" style="10" bestFit="1" customWidth="1"/>
    <col min="3" max="3" width="17.90625" bestFit="1" customWidth="1"/>
    <col min="4" max="4" width="13.6328125" bestFit="1" customWidth="1"/>
    <col min="5" max="5" width="18.1796875" bestFit="1" customWidth="1"/>
    <col min="6" max="6" width="23.1796875" bestFit="1" customWidth="1"/>
    <col min="7" max="7" width="23.6328125" style="16" bestFit="1" customWidth="1"/>
    <col min="8" max="8" width="11.453125" style="16" bestFit="1" customWidth="1"/>
    <col min="9" max="9" width="17.54296875" customWidth="1"/>
    <col min="10" max="13" width="9.36328125" bestFit="1" customWidth="1"/>
  </cols>
  <sheetData>
    <row r="1" spans="1:8">
      <c r="B1" s="44" t="s">
        <v>10</v>
      </c>
      <c r="C1" s="7"/>
    </row>
    <row r="2" spans="1:8" ht="15" thickBot="1">
      <c r="G2"/>
      <c r="H2"/>
    </row>
    <row r="3" spans="1:8" ht="30" thickTop="1" thickBot="1">
      <c r="A3" s="19" t="s">
        <v>9</v>
      </c>
      <c r="B3" s="45" t="s">
        <v>15</v>
      </c>
      <c r="C3" s="37" t="s">
        <v>52</v>
      </c>
      <c r="D3" s="38" t="s">
        <v>16</v>
      </c>
      <c r="E3" s="23" t="s">
        <v>17</v>
      </c>
      <c r="F3" s="24" t="s">
        <v>39</v>
      </c>
      <c r="G3" s="17"/>
      <c r="H3" s="17"/>
    </row>
    <row r="4" spans="1:8" ht="30.5" customHeight="1" thickBot="1">
      <c r="A4" s="126" t="s">
        <v>72</v>
      </c>
      <c r="B4" s="46" t="s">
        <v>60</v>
      </c>
      <c r="C4" s="39" t="s">
        <v>29</v>
      </c>
      <c r="D4" s="39" t="s">
        <v>110</v>
      </c>
      <c r="E4" s="39" t="s">
        <v>29</v>
      </c>
      <c r="F4" s="40" t="s">
        <v>29</v>
      </c>
      <c r="G4"/>
      <c r="H4"/>
    </row>
    <row r="5" spans="1:8" ht="30.5" customHeight="1" thickBot="1">
      <c r="A5" s="127"/>
      <c r="B5" s="47" t="s">
        <v>70</v>
      </c>
      <c r="C5" s="39" t="s">
        <v>29</v>
      </c>
      <c r="D5" s="39" t="s">
        <v>111</v>
      </c>
      <c r="E5" s="39" t="s">
        <v>29</v>
      </c>
      <c r="F5" s="40" t="s">
        <v>29</v>
      </c>
      <c r="G5"/>
      <c r="H5"/>
    </row>
    <row r="6" spans="1:8" ht="30.5" customHeight="1" thickBot="1">
      <c r="A6" s="127"/>
      <c r="B6" s="47" t="s">
        <v>69</v>
      </c>
      <c r="C6" s="39" t="s">
        <v>29</v>
      </c>
      <c r="D6" s="39" t="s">
        <v>29</v>
      </c>
      <c r="E6" s="39" t="s">
        <v>29</v>
      </c>
      <c r="F6" s="40" t="s">
        <v>29</v>
      </c>
      <c r="G6"/>
      <c r="H6"/>
    </row>
    <row r="7" spans="1:8" ht="30.5" customHeight="1" thickBot="1">
      <c r="A7" s="127"/>
      <c r="B7" s="47" t="s">
        <v>66</v>
      </c>
      <c r="C7" s="39" t="s">
        <v>29</v>
      </c>
      <c r="D7" s="39" t="s">
        <v>29</v>
      </c>
      <c r="E7" s="39" t="s">
        <v>29</v>
      </c>
      <c r="F7" s="40" t="s">
        <v>29</v>
      </c>
      <c r="G7"/>
      <c r="H7"/>
    </row>
    <row r="8" spans="1:8" ht="15" thickBot="1">
      <c r="A8" s="127"/>
      <c r="B8" s="47" t="s">
        <v>147</v>
      </c>
      <c r="C8" s="39" t="s">
        <v>29</v>
      </c>
      <c r="D8" s="39" t="s">
        <v>29</v>
      </c>
      <c r="E8" s="39" t="s">
        <v>29</v>
      </c>
      <c r="F8" s="40" t="s">
        <v>148</v>
      </c>
      <c r="G8"/>
      <c r="H8"/>
    </row>
    <row r="9" spans="1:8" ht="15" thickBot="1">
      <c r="A9" s="129"/>
      <c r="B9" s="130"/>
      <c r="C9" s="130"/>
      <c r="D9" s="130"/>
      <c r="E9" s="130"/>
      <c r="F9" s="131"/>
      <c r="G9"/>
      <c r="H9"/>
    </row>
    <row r="10" spans="1:8" ht="30.5" customHeight="1" thickBot="1">
      <c r="A10" s="126" t="s">
        <v>73</v>
      </c>
      <c r="B10" s="46" t="s">
        <v>60</v>
      </c>
      <c r="C10" s="39" t="s">
        <v>29</v>
      </c>
      <c r="D10" s="39" t="s">
        <v>110</v>
      </c>
      <c r="E10" s="39" t="s">
        <v>29</v>
      </c>
      <c r="F10" s="40" t="s">
        <v>29</v>
      </c>
      <c r="G10"/>
      <c r="H10"/>
    </row>
    <row r="11" spans="1:8" ht="29" customHeight="1" thickBot="1">
      <c r="A11" s="127"/>
      <c r="B11" s="47" t="s">
        <v>63</v>
      </c>
      <c r="C11" s="39" t="s">
        <v>29</v>
      </c>
      <c r="D11" s="39" t="s">
        <v>111</v>
      </c>
      <c r="E11" s="39" t="s">
        <v>29</v>
      </c>
      <c r="F11" s="40" t="s">
        <v>29</v>
      </c>
      <c r="G11"/>
      <c r="H11"/>
    </row>
    <row r="12" spans="1:8" ht="30.5" customHeight="1" thickBot="1">
      <c r="A12" s="127"/>
      <c r="B12" s="47" t="s">
        <v>69</v>
      </c>
      <c r="C12" s="39" t="s">
        <v>29</v>
      </c>
      <c r="D12" s="39" t="s">
        <v>29</v>
      </c>
      <c r="E12" s="39" t="s">
        <v>29</v>
      </c>
      <c r="F12" s="40" t="s">
        <v>29</v>
      </c>
      <c r="G12"/>
      <c r="H12"/>
    </row>
    <row r="13" spans="1:8" ht="46.5" customHeight="1" thickBot="1">
      <c r="A13" s="127"/>
      <c r="B13" s="47" t="s">
        <v>66</v>
      </c>
      <c r="C13" s="39" t="s">
        <v>29</v>
      </c>
      <c r="D13" s="39" t="s">
        <v>29</v>
      </c>
      <c r="E13" s="39" t="s">
        <v>29</v>
      </c>
      <c r="F13" s="40" t="s">
        <v>29</v>
      </c>
      <c r="G13"/>
      <c r="H13"/>
    </row>
    <row r="14" spans="1:8" ht="15" thickBot="1">
      <c r="A14" s="128"/>
      <c r="B14" s="47" t="s">
        <v>147</v>
      </c>
      <c r="C14" s="39" t="s">
        <v>29</v>
      </c>
      <c r="D14" s="39" t="s">
        <v>29</v>
      </c>
      <c r="E14" s="39" t="s">
        <v>29</v>
      </c>
      <c r="F14" s="40" t="s">
        <v>148</v>
      </c>
    </row>
    <row r="16" spans="1:8">
      <c r="C16" s="6"/>
    </row>
  </sheetData>
  <mergeCells count="3">
    <mergeCell ref="A4:A8"/>
    <mergeCell ref="A10:A14"/>
    <mergeCell ref="A9:F9"/>
  </mergeCells>
  <phoneticPr fontId="7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DCC8316-48D6-4D30-B8D2-6D6FD93BFE3A}">
  <ds:schemaRefs>
    <ds:schemaRef ds:uri="http://purl.org/dc/elements/1.1/"/>
    <ds:schemaRef ds:uri="http://purl.org/dc/dcmitype/"/>
    <ds:schemaRef ds:uri="http://purl.org/dc/terms/"/>
    <ds:schemaRef ds:uri="28936da8-d410-42e4-8c6a-6cdbdad3a796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8a6860bd-04fc-4ac5-ba93-eea3c8146794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28638C2-48ED-4D50-BABB-FADC342686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8A8F5-7541-4D31-ABC0-4891291C1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544197A-D737-4C15-9A19-BBE6FF573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Revision</vt:lpstr>
      <vt:lpstr>Device List</vt:lpstr>
      <vt:lpstr>Vlan</vt:lpstr>
      <vt:lpstr>Logical Topology</vt:lpstr>
      <vt:lpstr>Port layout  </vt:lpstr>
      <vt:lpstr>IP_Interconnection</vt:lpstr>
      <vt:lpstr>VRF_Planning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Eldeen Alsaeed (A)</dc:creator>
  <cp:lastModifiedBy>Ibrahim Malik Eltayb Ibrahim</cp:lastModifiedBy>
  <cp:lastPrinted>2023-12-19T10:38:06Z</cp:lastPrinted>
  <dcterms:created xsi:type="dcterms:W3CDTF">2015-06-05T18:17:20Z</dcterms:created>
  <dcterms:modified xsi:type="dcterms:W3CDTF">2026-05-19T11:38:12Z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(3)Omb7w2EyiQOQmneItVSkRNb+3Nsnei1vyGUzb69C6f+CVbp0SOdHmH1F/OCEIODl0Ze6JERt
MAQ7+Sv3OWktvgwWXBG2nAEVTqdS3r8CHztWq8dN6ch/+gfMHgsZ8KAAQn7TuBWFkckbIAnw
YwrMvApf3s4bMHfCboW4lEfdQeGqJL62kN68FKg75M70j4yWaU7YHlcFSjkV5wXUVDPWVhjc
xSeMN59MnNs59pf4Yy</vt:lpwstr>
  </property>
  <property fmtid="{D5CDD505-2E9C-101B-9397-08002B2CF9AE}" pid="3" name="_2015_ms_pID_7253431">
    <vt:lpwstr>XhoJ6nomSrUgSSL4V7dvaXUbO7JsOy1zD+bXfavavVNvSJRdY3f1+k
p8Jj+wTY5lAl35MqnHsDovI8GNPVOnXuVk8kvTagNTupt10HiuyPhZyrCbUe+3UuiZqziJ+1
/3uvczEf8++fQhLHxAcrZtHEfvqrd+FVe0CS+Hwcqat8F61G4vdx0flpohn57ICcyiebkrcR
+ER/drT5SboWngG3yfzB4z6/SxVETpjqxNZh</vt:lpwstr>
  </property>
  <property fmtid="{D5CDD505-2E9C-101B-9397-08002B2CF9AE}" pid="4" name="_2015_ms_pID_7253432">
    <vt:lpwstr>5Q==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</Properties>
</file>